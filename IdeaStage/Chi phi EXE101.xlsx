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772405A-ED5F-4B0B-85C2-A90678831D8C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Start-Up Investment" sheetId="3" r:id="rId1"/>
    <sheet name="Depreciation Expenses" sheetId="4" r:id="rId2"/>
    <sheet name="BOM" sheetId="37" r:id="rId3"/>
    <sheet name="Price setting" sheetId="2" r:id="rId4"/>
    <sheet name="Insurance Structure" sheetId="5" state="hidden" r:id="rId5"/>
    <sheet name="Marketing Expenses" sheetId="13" state="hidden" r:id="rId6"/>
    <sheet name="Salary Expenses" sheetId="7" r:id="rId7"/>
    <sheet name="Estimated Sale" sheetId="19" r:id="rId8"/>
    <sheet name="Operating Expenses" sheetId="16" r:id="rId9"/>
    <sheet name="Operating Expenses -Year" sheetId="35" r:id="rId10"/>
    <sheet name="Estimated Annual Cash Flow" sheetId="26" r:id="rId11"/>
    <sheet name="Break Even Point" sheetId="33" r:id="rId12"/>
    <sheet name="Estimated Income - Year" sheetId="32" state="hidden" r:id="rId13"/>
  </sheets>
  <definedNames>
    <definedName name="Bảng_lương">'Estimated Sale'!$E$6:$E$11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3" l="1"/>
  <c r="D13" i="16"/>
  <c r="D12" i="16"/>
  <c r="E12" i="16" s="1"/>
  <c r="D15" i="35" s="1"/>
  <c r="I12" i="19"/>
  <c r="C16" i="35"/>
  <c r="C4" i="32"/>
  <c r="C15" i="35"/>
  <c r="D8" i="4"/>
  <c r="D12" i="4"/>
  <c r="I36" i="19" l="1"/>
  <c r="I22" i="19"/>
  <c r="I26" i="19" l="1"/>
  <c r="C7" i="19"/>
  <c r="N3" i="3"/>
  <c r="N9" i="19"/>
  <c r="M9" i="19"/>
  <c r="N8" i="19"/>
  <c r="M8" i="19"/>
  <c r="N7" i="19"/>
  <c r="M7" i="19"/>
  <c r="N6" i="19"/>
  <c r="M6" i="19"/>
  <c r="F12" i="19"/>
  <c r="F28" i="19"/>
  <c r="F38" i="19" s="1"/>
  <c r="F27" i="19"/>
  <c r="F37" i="19" s="1"/>
  <c r="F30" i="19"/>
  <c r="F40" i="19" s="1"/>
  <c r="F31" i="19"/>
  <c r="F41" i="19" s="1"/>
  <c r="E21" i="7"/>
  <c r="E19" i="7"/>
  <c r="E18" i="7"/>
  <c r="E17" i="7"/>
  <c r="E16" i="7"/>
  <c r="E15" i="7"/>
  <c r="E40" i="7"/>
  <c r="E30" i="7"/>
  <c r="C7" i="4"/>
  <c r="D7" i="4"/>
  <c r="G7" i="4"/>
  <c r="G7" i="3"/>
  <c r="E6" i="33"/>
  <c r="E7" i="33" s="1"/>
  <c r="E8" i="33" s="1"/>
  <c r="E9" i="33" s="1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5" i="33"/>
  <c r="F29" i="19"/>
  <c r="F39" i="19" s="1"/>
  <c r="G6" i="19"/>
  <c r="I6" i="37"/>
  <c r="E5" i="2" s="1"/>
  <c r="I7" i="37"/>
  <c r="E6" i="2" s="1"/>
  <c r="E8" i="19" s="1"/>
  <c r="E38" i="19" s="1"/>
  <c r="I8" i="37"/>
  <c r="E7" i="2" s="1"/>
  <c r="E9" i="19" s="1"/>
  <c r="E19" i="19" s="1"/>
  <c r="I9" i="37"/>
  <c r="E8" i="2" s="1"/>
  <c r="E10" i="19" s="1"/>
  <c r="E40" i="19" s="1"/>
  <c r="I10" i="37"/>
  <c r="E9" i="2" s="1"/>
  <c r="E11" i="19" s="1"/>
  <c r="E21" i="19" s="1"/>
  <c r="I5" i="37"/>
  <c r="E4" i="2" s="1"/>
  <c r="G11" i="19"/>
  <c r="G10" i="19"/>
  <c r="G9" i="19"/>
  <c r="G8" i="19"/>
  <c r="G7" i="19"/>
  <c r="C38" i="19"/>
  <c r="C39" i="19"/>
  <c r="C40" i="19"/>
  <c r="C41" i="19"/>
  <c r="C28" i="19"/>
  <c r="C29" i="19"/>
  <c r="C30" i="19"/>
  <c r="C31" i="19"/>
  <c r="C18" i="19"/>
  <c r="C19" i="19"/>
  <c r="C20" i="19"/>
  <c r="C21" i="19"/>
  <c r="C8" i="19"/>
  <c r="D8" i="19"/>
  <c r="D38" i="19" s="1"/>
  <c r="C9" i="19"/>
  <c r="D9" i="19"/>
  <c r="D19" i="19" s="1"/>
  <c r="C10" i="19"/>
  <c r="D10" i="19"/>
  <c r="D30" i="19" s="1"/>
  <c r="C11" i="19"/>
  <c r="D11" i="19"/>
  <c r="D21" i="19" s="1"/>
  <c r="F14" i="16"/>
  <c r="F9" i="16"/>
  <c r="G12" i="19" l="1"/>
  <c r="E20" i="19"/>
  <c r="G39" i="19"/>
  <c r="G29" i="19"/>
  <c r="H29" i="19" s="1"/>
  <c r="G38" i="19"/>
  <c r="I38" i="19" s="1"/>
  <c r="G28" i="19"/>
  <c r="I28" i="19" s="1"/>
  <c r="G19" i="19"/>
  <c r="H19" i="19" s="1"/>
  <c r="G18" i="19"/>
  <c r="E30" i="19"/>
  <c r="E31" i="19"/>
  <c r="D31" i="19"/>
  <c r="E41" i="19"/>
  <c r="D41" i="19"/>
  <c r="E18" i="19"/>
  <c r="I18" i="19" s="1"/>
  <c r="D18" i="19"/>
  <c r="D40" i="19"/>
  <c r="D39" i="19"/>
  <c r="D29" i="19"/>
  <c r="I8" i="19"/>
  <c r="E28" i="19"/>
  <c r="I9" i="19"/>
  <c r="E39" i="19"/>
  <c r="I39" i="19" s="1"/>
  <c r="E29" i="19"/>
  <c r="I29" i="19" s="1"/>
  <c r="D20" i="19"/>
  <c r="D28" i="19"/>
  <c r="H28" i="19" s="1"/>
  <c r="I10" i="19"/>
  <c r="I11" i="19"/>
  <c r="H10" i="19"/>
  <c r="H9" i="19"/>
  <c r="H11" i="19"/>
  <c r="H8" i="19"/>
  <c r="H38" i="19" l="1"/>
  <c r="F26" i="19"/>
  <c r="F36" i="19" s="1"/>
  <c r="F22" i="19"/>
  <c r="I19" i="19"/>
  <c r="H39" i="19"/>
  <c r="H18" i="19"/>
  <c r="D5" i="16"/>
  <c r="G41" i="7"/>
  <c r="G39" i="7"/>
  <c r="G38" i="7"/>
  <c r="G37" i="7"/>
  <c r="G36" i="7"/>
  <c r="G35" i="7"/>
  <c r="G31" i="7"/>
  <c r="G30" i="7"/>
  <c r="G29" i="7"/>
  <c r="G28" i="7"/>
  <c r="H28" i="7" s="1"/>
  <c r="G27" i="7"/>
  <c r="H27" i="7" s="1"/>
  <c r="G26" i="7"/>
  <c r="G25" i="7"/>
  <c r="G20" i="7"/>
  <c r="G6" i="7"/>
  <c r="G7" i="7"/>
  <c r="H7" i="7" s="1"/>
  <c r="G8" i="7"/>
  <c r="G9" i="7"/>
  <c r="G10" i="7"/>
  <c r="G11" i="7"/>
  <c r="G5" i="7"/>
  <c r="E14" i="16"/>
  <c r="H9" i="16"/>
  <c r="J9" i="16" s="1"/>
  <c r="K9" i="16" s="1"/>
  <c r="F38" i="7"/>
  <c r="F28" i="7"/>
  <c r="F18" i="7"/>
  <c r="F8" i="7"/>
  <c r="F9" i="7"/>
  <c r="F10" i="7"/>
  <c r="F11" i="7"/>
  <c r="G18" i="7"/>
  <c r="C18" i="7"/>
  <c r="C28" i="7" s="1"/>
  <c r="C38" i="7" s="1"/>
  <c r="G16" i="7"/>
  <c r="H16" i="7" s="1"/>
  <c r="G17" i="7"/>
  <c r="H17" i="7" s="1"/>
  <c r="D12" i="7"/>
  <c r="F41" i="7"/>
  <c r="F40" i="7"/>
  <c r="F39" i="7"/>
  <c r="F37" i="7"/>
  <c r="F36" i="7"/>
  <c r="F35" i="7"/>
  <c r="F31" i="7"/>
  <c r="F30" i="7"/>
  <c r="F29" i="7"/>
  <c r="F27" i="7"/>
  <c r="F26" i="7"/>
  <c r="F25" i="7"/>
  <c r="F21" i="7"/>
  <c r="F20" i="7"/>
  <c r="F19" i="7"/>
  <c r="F17" i="7"/>
  <c r="F16" i="7"/>
  <c r="F15" i="7"/>
  <c r="F6" i="7"/>
  <c r="H6" i="7" s="1"/>
  <c r="F7" i="7"/>
  <c r="C17" i="7"/>
  <c r="C27" i="7" s="1"/>
  <c r="C37" i="7" s="1"/>
  <c r="C19" i="7"/>
  <c r="C29" i="7" s="1"/>
  <c r="C39" i="7" s="1"/>
  <c r="C16" i="7"/>
  <c r="C26" i="7" s="1"/>
  <c r="C36" i="7" s="1"/>
  <c r="C20" i="7"/>
  <c r="C30" i="7" s="1"/>
  <c r="C40" i="7" s="1"/>
  <c r="C21" i="7"/>
  <c r="C31" i="7" s="1"/>
  <c r="C41" i="7" s="1"/>
  <c r="G15" i="7"/>
  <c r="J11" i="4"/>
  <c r="H11" i="7" l="1"/>
  <c r="F42" i="19"/>
  <c r="F32" i="19"/>
  <c r="H9" i="7"/>
  <c r="H15" i="7"/>
  <c r="H8" i="7"/>
  <c r="H41" i="7"/>
  <c r="H10" i="7"/>
  <c r="H20" i="7"/>
  <c r="H35" i="7"/>
  <c r="H30" i="7"/>
  <c r="H29" i="7"/>
  <c r="H31" i="7"/>
  <c r="H36" i="7"/>
  <c r="H37" i="7"/>
  <c r="H38" i="7"/>
  <c r="H39" i="7"/>
  <c r="H18" i="7"/>
  <c r="H25" i="7"/>
  <c r="H26" i="7"/>
  <c r="E5" i="16"/>
  <c r="H5" i="16"/>
  <c r="I5" i="16" s="1"/>
  <c r="F5" i="16"/>
  <c r="J5" i="16" s="1"/>
  <c r="G9" i="16"/>
  <c r="I9" i="16"/>
  <c r="G40" i="7"/>
  <c r="H40" i="7" s="1"/>
  <c r="G26" i="19"/>
  <c r="G17" i="19"/>
  <c r="G20" i="19"/>
  <c r="G21" i="19"/>
  <c r="H12" i="4"/>
  <c r="I12" i="4"/>
  <c r="J12" i="4"/>
  <c r="H8" i="4"/>
  <c r="I8" i="4"/>
  <c r="J8" i="4"/>
  <c r="I21" i="19" l="1"/>
  <c r="H21" i="19"/>
  <c r="I20" i="19"/>
  <c r="H20" i="19"/>
  <c r="G31" i="19"/>
  <c r="G30" i="19"/>
  <c r="G27" i="19"/>
  <c r="G32" i="19" s="1"/>
  <c r="G13" i="3"/>
  <c r="G12" i="3"/>
  <c r="G11" i="3"/>
  <c r="D11" i="4" s="1"/>
  <c r="G11" i="4" s="1"/>
  <c r="G10" i="3"/>
  <c r="D10" i="4" s="1"/>
  <c r="G10" i="4" s="1"/>
  <c r="H10" i="4" s="1"/>
  <c r="G9" i="3"/>
  <c r="D9" i="4" s="1"/>
  <c r="G9" i="4" s="1"/>
  <c r="H9" i="4" s="1"/>
  <c r="I9" i="4" s="1"/>
  <c r="G8" i="3"/>
  <c r="G6" i="3"/>
  <c r="G5" i="3"/>
  <c r="G32" i="3"/>
  <c r="I31" i="19" l="1"/>
  <c r="H31" i="19"/>
  <c r="H30" i="19"/>
  <c r="I30" i="19"/>
  <c r="I11" i="4"/>
  <c r="H11" i="4"/>
  <c r="G41" i="19"/>
  <c r="G40" i="19"/>
  <c r="G37" i="19"/>
  <c r="G36" i="19"/>
  <c r="B14" i="26"/>
  <c r="B15" i="26"/>
  <c r="B7" i="26"/>
  <c r="B8" i="26"/>
  <c r="B9" i="26"/>
  <c r="B10" i="26"/>
  <c r="B11" i="26"/>
  <c r="B15" i="32"/>
  <c r="C17" i="35"/>
  <c r="B16" i="32" s="1"/>
  <c r="C5" i="35"/>
  <c r="B10" i="32" s="1"/>
  <c r="C6" i="35"/>
  <c r="B11" i="32" s="1"/>
  <c r="C7" i="35"/>
  <c r="B12" i="32" s="1"/>
  <c r="C8" i="35"/>
  <c r="B13" i="32" s="1"/>
  <c r="C9" i="35"/>
  <c r="B14" i="32" s="1"/>
  <c r="C4" i="35"/>
  <c r="B9" i="32" s="1"/>
  <c r="K7" i="16"/>
  <c r="G42" i="19" l="1"/>
  <c r="I41" i="19"/>
  <c r="H41" i="19"/>
  <c r="H40" i="19"/>
  <c r="I40" i="19"/>
  <c r="G8" i="16"/>
  <c r="I7" i="16"/>
  <c r="I8" i="16"/>
  <c r="E9" i="16"/>
  <c r="D8" i="35" s="1"/>
  <c r="C13" i="32" s="1"/>
  <c r="D10" i="26" s="1"/>
  <c r="G7" i="16"/>
  <c r="K8" i="16"/>
  <c r="C12" i="4"/>
  <c r="C13" i="4"/>
  <c r="C10" i="4"/>
  <c r="C11" i="4"/>
  <c r="G24" i="3" l="1"/>
  <c r="G25" i="3"/>
  <c r="G26" i="3"/>
  <c r="G27" i="3"/>
  <c r="G28" i="3"/>
  <c r="G29" i="3"/>
  <c r="G30" i="3"/>
  <c r="G23" i="3"/>
  <c r="G18" i="3" l="1"/>
  <c r="G21" i="7"/>
  <c r="H21" i="7" s="1"/>
  <c r="G19" i="7"/>
  <c r="H19" i="7" s="1"/>
  <c r="G17" i="3"/>
  <c r="C8" i="4"/>
  <c r="C9" i="4"/>
  <c r="C5" i="4"/>
  <c r="D13" i="4"/>
  <c r="G13" i="4" s="1"/>
  <c r="H13" i="4" s="1"/>
  <c r="C15" i="7"/>
  <c r="C25" i="7" s="1"/>
  <c r="C35" i="7" s="1"/>
  <c r="G7" i="35"/>
  <c r="F12" i="32" s="1"/>
  <c r="G9" i="26" s="1"/>
  <c r="G6" i="35"/>
  <c r="F11" i="32" s="1"/>
  <c r="G8" i="26" s="1"/>
  <c r="F7" i="35"/>
  <c r="E12" i="32" s="1"/>
  <c r="F9" i="26" s="1"/>
  <c r="F6" i="35"/>
  <c r="E11" i="32" s="1"/>
  <c r="F8" i="26" s="1"/>
  <c r="E6" i="35"/>
  <c r="D11" i="32" s="1"/>
  <c r="E8" i="26" s="1"/>
  <c r="E7" i="35"/>
  <c r="D12" i="32" s="1"/>
  <c r="E9" i="26" s="1"/>
  <c r="G31" i="3"/>
  <c r="J10" i="4"/>
  <c r="G19" i="3" l="1"/>
  <c r="H14" i="16" l="1"/>
  <c r="G14" i="16"/>
  <c r="J14" i="16" l="1"/>
  <c r="K14" i="16" s="1"/>
  <c r="I14" i="16"/>
  <c r="E8" i="16"/>
  <c r="C6" i="4"/>
  <c r="D6" i="4"/>
  <c r="G6" i="4" s="1"/>
  <c r="H6" i="4" s="1"/>
  <c r="I6" i="4" s="1"/>
  <c r="E7" i="16" l="1"/>
  <c r="D6" i="35" s="1"/>
  <c r="C11" i="32" s="1"/>
  <c r="D8" i="26" s="1"/>
  <c r="D7" i="35"/>
  <c r="C12" i="32" s="1"/>
  <c r="D9" i="26" s="1"/>
  <c r="H14" i="4" l="1"/>
  <c r="D17" i="32" s="1"/>
  <c r="E17" i="26" s="1"/>
  <c r="I14" i="4"/>
  <c r="E17" i="32" s="1"/>
  <c r="F17" i="26" s="1"/>
  <c r="J14" i="4"/>
  <c r="F17" i="32" s="1"/>
  <c r="G17" i="26" s="1"/>
  <c r="G14" i="4"/>
  <c r="C17" i="32" s="1"/>
  <c r="D17" i="26" s="1"/>
  <c r="D7" i="19"/>
  <c r="H7" i="19" s="1"/>
  <c r="D37" i="19" l="1"/>
  <c r="H37" i="19" s="1"/>
  <c r="D27" i="19"/>
  <c r="H27" i="19" s="1"/>
  <c r="D17" i="19"/>
  <c r="H17" i="19" s="1"/>
  <c r="E7" i="19"/>
  <c r="I7" i="19" s="1"/>
  <c r="C37" i="19"/>
  <c r="C27" i="19"/>
  <c r="C17" i="19"/>
  <c r="E27" i="19" l="1"/>
  <c r="I27" i="19" s="1"/>
  <c r="E37" i="19"/>
  <c r="I37" i="19" s="1"/>
  <c r="E17" i="19"/>
  <c r="I17" i="19" s="1"/>
  <c r="G14" i="3"/>
  <c r="D22" i="7"/>
  <c r="D42" i="7"/>
  <c r="E8" i="35" l="1"/>
  <c r="D13" i="32" s="1"/>
  <c r="E10" i="26" s="1"/>
  <c r="G9" i="35" l="1"/>
  <c r="F14" i="32" s="1"/>
  <c r="G11" i="26" s="1"/>
  <c r="B6" i="26"/>
  <c r="G17" i="35"/>
  <c r="F16" i="32" s="1"/>
  <c r="G15" i="26" s="1"/>
  <c r="G8" i="35"/>
  <c r="F13" i="32" s="1"/>
  <c r="G10" i="26" s="1"/>
  <c r="F17" i="35"/>
  <c r="E16" i="32" s="1"/>
  <c r="F15" i="26" s="1"/>
  <c r="F8" i="35"/>
  <c r="E13" i="32" s="1"/>
  <c r="F10" i="26" s="1"/>
  <c r="E17" i="35"/>
  <c r="D16" i="32" s="1"/>
  <c r="E15" i="26" s="1"/>
  <c r="D17" i="35"/>
  <c r="C16" i="32" s="1"/>
  <c r="D15" i="26" s="1"/>
  <c r="G5" i="16" l="1"/>
  <c r="F4" i="35"/>
  <c r="E9" i="32" s="1"/>
  <c r="F6" i="26" s="1"/>
  <c r="E4" i="35" l="1"/>
  <c r="D9" i="32" s="1"/>
  <c r="E6" i="26" s="1"/>
  <c r="D9" i="35"/>
  <c r="C14" i="32" s="1"/>
  <c r="D11" i="26" s="1"/>
  <c r="E6" i="19" l="1"/>
  <c r="I6" i="19" s="1"/>
  <c r="E26" i="19" l="1"/>
  <c r="I32" i="19" s="1"/>
  <c r="E36" i="19"/>
  <c r="I42" i="19" s="1"/>
  <c r="E16" i="19"/>
  <c r="D6" i="19"/>
  <c r="H6" i="19" s="1"/>
  <c r="H12" i="19" s="1"/>
  <c r="D32" i="7"/>
  <c r="E5" i="5"/>
  <c r="F14" i="4"/>
  <c r="G33" i="3"/>
  <c r="N4" i="3"/>
  <c r="D16" i="19" l="1"/>
  <c r="D26" i="19"/>
  <c r="H26" i="19" s="1"/>
  <c r="H32" i="19" s="1"/>
  <c r="D36" i="19"/>
  <c r="H36" i="19" s="1"/>
  <c r="H42" i="19" s="1"/>
  <c r="F5" i="7"/>
  <c r="H5" i="7" s="1"/>
  <c r="N5" i="3"/>
  <c r="C27" i="26"/>
  <c r="C6" i="19"/>
  <c r="C36" i="19"/>
  <c r="C26" i="19"/>
  <c r="C16" i="19"/>
  <c r="C26" i="26"/>
  <c r="F4" i="32" l="1"/>
  <c r="J13" i="16"/>
  <c r="E4" i="32"/>
  <c r="H13" i="16"/>
  <c r="N6" i="3"/>
  <c r="C25" i="26"/>
  <c r="C28" i="26" s="1"/>
  <c r="C29" i="26" s="1"/>
  <c r="D23" i="26" l="1"/>
  <c r="E23" i="26"/>
  <c r="F23" i="26" l="1"/>
  <c r="G23" i="26"/>
  <c r="K5" i="16" l="1"/>
  <c r="G4" i="35" s="1"/>
  <c r="F9" i="32" s="1"/>
  <c r="G6" i="26" s="1"/>
  <c r="E9" i="35"/>
  <c r="D14" i="32" s="1"/>
  <c r="E11" i="26" s="1"/>
  <c r="F9" i="35"/>
  <c r="E14" i="32" s="1"/>
  <c r="F11" i="26" s="1"/>
  <c r="D4" i="35"/>
  <c r="C9" i="32" s="1"/>
  <c r="D6" i="26" s="1"/>
  <c r="H12" i="7" l="1"/>
  <c r="D6" i="16" s="1"/>
  <c r="E6" i="16" l="1"/>
  <c r="D5" i="35" s="1"/>
  <c r="C10" i="32" s="1"/>
  <c r="D7" i="26" s="1"/>
  <c r="H22" i="7"/>
  <c r="F6" i="16" s="1"/>
  <c r="G6" i="16" l="1"/>
  <c r="G11" i="16" s="1"/>
  <c r="H32" i="7"/>
  <c r="H6" i="16" s="1"/>
  <c r="I6" i="16" s="1"/>
  <c r="D11" i="16"/>
  <c r="F11" i="16"/>
  <c r="H42" i="7"/>
  <c r="J6" i="16" s="1"/>
  <c r="H11" i="16" l="1"/>
  <c r="F5" i="35"/>
  <c r="E10" i="32" s="1"/>
  <c r="F7" i="26" s="1"/>
  <c r="F5" i="26" s="1"/>
  <c r="I11" i="16"/>
  <c r="E23" i="35" s="1"/>
  <c r="E5" i="35"/>
  <c r="D10" i="32" s="1"/>
  <c r="E7" i="26" s="1"/>
  <c r="E22" i="35"/>
  <c r="E11" i="16"/>
  <c r="E21" i="35" s="1"/>
  <c r="K6" i="16" l="1"/>
  <c r="E5" i="26"/>
  <c r="J11" i="16"/>
  <c r="G5" i="35" l="1"/>
  <c r="F10" i="32" s="1"/>
  <c r="G7" i="26" s="1"/>
  <c r="G5" i="26" s="1"/>
  <c r="C5" i="33" s="1"/>
  <c r="K11" i="16"/>
  <c r="E24" i="35" s="1"/>
  <c r="F4" i="33" l="1"/>
  <c r="E13" i="16" l="1"/>
  <c r="D16" i="35" s="1"/>
  <c r="C4" i="13"/>
  <c r="I4" i="13" l="1"/>
  <c r="I7" i="13" s="1"/>
  <c r="K4" i="13"/>
  <c r="I9" i="13"/>
  <c r="I8" i="13"/>
  <c r="C7" i="13"/>
  <c r="C6" i="13"/>
  <c r="C9" i="13"/>
  <c r="C8" i="13"/>
  <c r="C5" i="13"/>
  <c r="D4" i="13"/>
  <c r="N4" i="13"/>
  <c r="G4" i="13"/>
  <c r="E4" i="13"/>
  <c r="L4" i="13"/>
  <c r="H4" i="13"/>
  <c r="F4" i="13"/>
  <c r="G16" i="19" l="1"/>
  <c r="G22" i="19" s="1"/>
  <c r="I5" i="13"/>
  <c r="I6" i="13"/>
  <c r="C15" i="32"/>
  <c r="D14" i="26" s="1"/>
  <c r="I13" i="16"/>
  <c r="L5" i="13"/>
  <c r="L7" i="13"/>
  <c r="L8" i="13"/>
  <c r="L6" i="13"/>
  <c r="L9" i="13"/>
  <c r="N8" i="13"/>
  <c r="N9" i="13"/>
  <c r="N6" i="13"/>
  <c r="N7" i="13"/>
  <c r="N5" i="13"/>
  <c r="F9" i="13"/>
  <c r="F7" i="13"/>
  <c r="F5" i="13"/>
  <c r="F6" i="13"/>
  <c r="F8" i="13"/>
  <c r="G6" i="13"/>
  <c r="G8" i="13"/>
  <c r="G9" i="13"/>
  <c r="G5" i="13"/>
  <c r="G7" i="13"/>
  <c r="D5" i="13"/>
  <c r="D6" i="13"/>
  <c r="D9" i="13"/>
  <c r="D7" i="13"/>
  <c r="D8" i="13"/>
  <c r="H9" i="13"/>
  <c r="H7" i="13"/>
  <c r="H6" i="13"/>
  <c r="H5" i="13"/>
  <c r="H8" i="13"/>
  <c r="M4" i="13"/>
  <c r="H13" i="13"/>
  <c r="K5" i="13"/>
  <c r="K6" i="13"/>
  <c r="K9" i="13"/>
  <c r="K8" i="13"/>
  <c r="K7" i="13"/>
  <c r="E9" i="13"/>
  <c r="E7" i="13"/>
  <c r="E5" i="13"/>
  <c r="E8" i="13"/>
  <c r="E6" i="13"/>
  <c r="J4" i="13"/>
  <c r="D5" i="26" l="1"/>
  <c r="C8" i="32"/>
  <c r="I16" i="19"/>
  <c r="H16" i="19"/>
  <c r="H22" i="19" s="1"/>
  <c r="D4" i="26"/>
  <c r="O4" i="13"/>
  <c r="K13" i="13"/>
  <c r="L13" i="13"/>
  <c r="H22" i="13"/>
  <c r="H14" i="13"/>
  <c r="H17" i="13"/>
  <c r="H18" i="13"/>
  <c r="H15" i="13"/>
  <c r="H16" i="13"/>
  <c r="J13" i="13"/>
  <c r="K13" i="16"/>
  <c r="M6" i="13"/>
  <c r="M8" i="13"/>
  <c r="M7" i="13"/>
  <c r="M5" i="13"/>
  <c r="M9" i="13"/>
  <c r="E13" i="13"/>
  <c r="D13" i="13"/>
  <c r="I13" i="13"/>
  <c r="G13" i="13"/>
  <c r="M13" i="13"/>
  <c r="F13" i="13"/>
  <c r="J6" i="13"/>
  <c r="J7" i="13"/>
  <c r="J5" i="13"/>
  <c r="J8" i="13"/>
  <c r="J9" i="13"/>
  <c r="C13" i="13"/>
  <c r="D4" i="32" l="1"/>
  <c r="F13" i="16"/>
  <c r="O6" i="13"/>
  <c r="O8" i="13"/>
  <c r="O5" i="13"/>
  <c r="O9" i="13"/>
  <c r="O7" i="13"/>
  <c r="C18" i="13"/>
  <c r="C16" i="13"/>
  <c r="C15" i="13"/>
  <c r="C14" i="13"/>
  <c r="C17" i="13"/>
  <c r="O13" i="13"/>
  <c r="N22" i="13"/>
  <c r="E4" i="26"/>
  <c r="D5" i="32"/>
  <c r="M22" i="13"/>
  <c r="F22" i="13"/>
  <c r="K22" i="13"/>
  <c r="D15" i="13"/>
  <c r="D17" i="13"/>
  <c r="D14" i="13"/>
  <c r="D18" i="13"/>
  <c r="D16" i="13"/>
  <c r="K18" i="13"/>
  <c r="K14" i="13"/>
  <c r="K17" i="13"/>
  <c r="K16" i="13"/>
  <c r="K15" i="13"/>
  <c r="C22" i="13"/>
  <c r="F16" i="35"/>
  <c r="E15" i="32" s="1"/>
  <c r="H31" i="13"/>
  <c r="G22" i="13"/>
  <c r="D22" i="13"/>
  <c r="G17" i="13"/>
  <c r="G18" i="13"/>
  <c r="G15" i="13"/>
  <c r="G16" i="13"/>
  <c r="G14" i="13"/>
  <c r="I17" i="13"/>
  <c r="I18" i="13"/>
  <c r="I15" i="13"/>
  <c r="I16" i="13"/>
  <c r="I14" i="13"/>
  <c r="E18" i="13"/>
  <c r="E16" i="13"/>
  <c r="E17" i="13"/>
  <c r="E14" i="13"/>
  <c r="E15" i="13"/>
  <c r="L22" i="13"/>
  <c r="H24" i="13"/>
  <c r="H27" i="13"/>
  <c r="H23" i="13"/>
  <c r="H26" i="13"/>
  <c r="H25" i="13"/>
  <c r="J16" i="13"/>
  <c r="J18" i="13"/>
  <c r="J14" i="13"/>
  <c r="J15" i="13"/>
  <c r="J17" i="13"/>
  <c r="I22" i="13"/>
  <c r="J22" i="13"/>
  <c r="F14" i="13"/>
  <c r="F18" i="13"/>
  <c r="F17" i="13"/>
  <c r="F15" i="13"/>
  <c r="F16" i="13"/>
  <c r="M15" i="13"/>
  <c r="M17" i="13"/>
  <c r="M14" i="13"/>
  <c r="M16" i="13"/>
  <c r="M18" i="13"/>
  <c r="E22" i="13"/>
  <c r="L18" i="13"/>
  <c r="L17" i="13"/>
  <c r="L16" i="13"/>
  <c r="L15" i="13"/>
  <c r="L14" i="13"/>
  <c r="E8" i="32" l="1"/>
  <c r="F14" i="26"/>
  <c r="G13" i="16"/>
  <c r="E16" i="35" s="1"/>
  <c r="D15" i="32" s="1"/>
  <c r="N13" i="13"/>
  <c r="E23" i="13"/>
  <c r="E27" i="13"/>
  <c r="E25" i="13"/>
  <c r="E24" i="13"/>
  <c r="E26" i="13"/>
  <c r="C25" i="13"/>
  <c r="C27" i="13"/>
  <c r="C23" i="13"/>
  <c r="C24" i="13"/>
  <c r="O22" i="13"/>
  <c r="C26" i="13"/>
  <c r="K24" i="13"/>
  <c r="K26" i="13"/>
  <c r="K27" i="13"/>
  <c r="K25" i="13"/>
  <c r="K23" i="13"/>
  <c r="M25" i="13"/>
  <c r="M27" i="13"/>
  <c r="M24" i="13"/>
  <c r="M23" i="13"/>
  <c r="M26" i="13"/>
  <c r="O14" i="13"/>
  <c r="N31" i="13"/>
  <c r="D24" i="13"/>
  <c r="D23" i="13"/>
  <c r="D25" i="13"/>
  <c r="D26" i="13"/>
  <c r="D27" i="13"/>
  <c r="H34" i="13"/>
  <c r="H32" i="13"/>
  <c r="H36" i="13"/>
  <c r="H35" i="13"/>
  <c r="H33" i="13"/>
  <c r="D31" i="13"/>
  <c r="C31" i="13"/>
  <c r="G16" i="35"/>
  <c r="F15" i="32" s="1"/>
  <c r="O15" i="13"/>
  <c r="I31" i="13"/>
  <c r="K31" i="13"/>
  <c r="F24" i="13"/>
  <c r="F25" i="13"/>
  <c r="F27" i="13"/>
  <c r="F26" i="13"/>
  <c r="F23" i="13"/>
  <c r="N25" i="13"/>
  <c r="N24" i="13"/>
  <c r="N23" i="13"/>
  <c r="N27" i="13"/>
  <c r="N26" i="13"/>
  <c r="O16" i="13"/>
  <c r="I27" i="13"/>
  <c r="I25" i="13"/>
  <c r="I26" i="13"/>
  <c r="I24" i="13"/>
  <c r="I23" i="13"/>
  <c r="G31" i="13"/>
  <c r="L26" i="13"/>
  <c r="L24" i="13"/>
  <c r="L27" i="13"/>
  <c r="L23" i="13"/>
  <c r="L25" i="13"/>
  <c r="M31" i="13"/>
  <c r="J31" i="13"/>
  <c r="E5" i="32"/>
  <c r="F4" i="26"/>
  <c r="F31" i="13"/>
  <c r="O18" i="13"/>
  <c r="G26" i="13"/>
  <c r="G24" i="13"/>
  <c r="G27" i="13"/>
  <c r="G23" i="13"/>
  <c r="G25" i="13"/>
  <c r="E31" i="13"/>
  <c r="J25" i="13"/>
  <c r="J27" i="13"/>
  <c r="J24" i="13"/>
  <c r="J23" i="13"/>
  <c r="J26" i="13"/>
  <c r="H40" i="13"/>
  <c r="L31" i="13"/>
  <c r="O17" i="13"/>
  <c r="F8" i="32" l="1"/>
  <c r="G14" i="26"/>
  <c r="D8" i="32"/>
  <c r="E14" i="26"/>
  <c r="N16" i="13"/>
  <c r="N18" i="13"/>
  <c r="N17" i="13"/>
  <c r="N14" i="13"/>
  <c r="N15" i="13"/>
  <c r="I40" i="13"/>
  <c r="O23" i="13"/>
  <c r="E32" i="13"/>
  <c r="E34" i="13"/>
  <c r="E33" i="13"/>
  <c r="E36" i="13"/>
  <c r="E35" i="13"/>
  <c r="M33" i="13"/>
  <c r="M35" i="13"/>
  <c r="M32" i="13"/>
  <c r="M36" i="13"/>
  <c r="M34" i="13"/>
  <c r="K32" i="13"/>
  <c r="K35" i="13"/>
  <c r="K34" i="13"/>
  <c r="K36" i="13"/>
  <c r="K33" i="13"/>
  <c r="L40" i="13"/>
  <c r="O27" i="13"/>
  <c r="J35" i="13"/>
  <c r="J33" i="13"/>
  <c r="J34" i="13"/>
  <c r="J32" i="13"/>
  <c r="J36" i="13"/>
  <c r="D40" i="13"/>
  <c r="O25" i="13"/>
  <c r="H44" i="13"/>
  <c r="H42" i="13"/>
  <c r="H45" i="13"/>
  <c r="H41" i="13"/>
  <c r="H43" i="13"/>
  <c r="G36" i="13"/>
  <c r="G35" i="13"/>
  <c r="G33" i="13"/>
  <c r="G32" i="13"/>
  <c r="G34" i="13"/>
  <c r="I32" i="13"/>
  <c r="I33" i="13"/>
  <c r="I36" i="13"/>
  <c r="I35" i="13"/>
  <c r="I34" i="13"/>
  <c r="D32" i="13"/>
  <c r="D36" i="13"/>
  <c r="D34" i="13"/>
  <c r="D33" i="13"/>
  <c r="D35" i="13"/>
  <c r="O26" i="13"/>
  <c r="J40" i="13"/>
  <c r="C40" i="13"/>
  <c r="F36" i="13"/>
  <c r="F35" i="13"/>
  <c r="F33" i="13"/>
  <c r="F32" i="13"/>
  <c r="F34" i="13"/>
  <c r="G4" i="26"/>
  <c r="C4" i="33" s="1"/>
  <c r="F5" i="32"/>
  <c r="N32" i="13"/>
  <c r="N34" i="13"/>
  <c r="N35" i="13"/>
  <c r="N36" i="13"/>
  <c r="N33" i="13"/>
  <c r="N40" i="13"/>
  <c r="L33" i="13"/>
  <c r="L35" i="13"/>
  <c r="L32" i="13"/>
  <c r="L34" i="13"/>
  <c r="L36" i="13"/>
  <c r="M40" i="13"/>
  <c r="F40" i="13"/>
  <c r="G40" i="13"/>
  <c r="K40" i="13"/>
  <c r="E40" i="13"/>
  <c r="C35" i="13"/>
  <c r="C32" i="13"/>
  <c r="C34" i="13"/>
  <c r="C36" i="13"/>
  <c r="C33" i="13"/>
  <c r="O31" i="13"/>
  <c r="O24" i="13"/>
  <c r="O34" i="13" l="1"/>
  <c r="O32" i="13"/>
  <c r="N44" i="13"/>
  <c r="N41" i="13"/>
  <c r="N45" i="13"/>
  <c r="N42" i="13"/>
  <c r="N43" i="13"/>
  <c r="C43" i="13"/>
  <c r="C44" i="13"/>
  <c r="C41" i="13"/>
  <c r="C42" i="13"/>
  <c r="O40" i="13"/>
  <c r="C45" i="13"/>
  <c r="D43" i="13"/>
  <c r="D42" i="13"/>
  <c r="D41" i="13"/>
  <c r="D44" i="13"/>
  <c r="D45" i="13"/>
  <c r="I42" i="13"/>
  <c r="I41" i="13"/>
  <c r="I45" i="13"/>
  <c r="I43" i="13"/>
  <c r="I44" i="13"/>
  <c r="C7" i="33"/>
  <c r="O35" i="13"/>
  <c r="E44" i="13"/>
  <c r="E43" i="13"/>
  <c r="E41" i="13"/>
  <c r="E45" i="13"/>
  <c r="E42" i="13"/>
  <c r="J41" i="13"/>
  <c r="J44" i="13"/>
  <c r="J42" i="13"/>
  <c r="J43" i="13"/>
  <c r="J45" i="13"/>
  <c r="L44" i="13"/>
  <c r="L43" i="13"/>
  <c r="L45" i="13"/>
  <c r="L42" i="13"/>
  <c r="L41" i="13"/>
  <c r="G44" i="13"/>
  <c r="G43" i="13"/>
  <c r="G42" i="13"/>
  <c r="G45" i="13"/>
  <c r="G41" i="13"/>
  <c r="O33" i="13"/>
  <c r="M41" i="13"/>
  <c r="M44" i="13"/>
  <c r="M45" i="13"/>
  <c r="M43" i="13"/>
  <c r="M42" i="13"/>
  <c r="O36" i="13"/>
  <c r="K45" i="13"/>
  <c r="K43" i="13"/>
  <c r="K44" i="13"/>
  <c r="K41" i="13"/>
  <c r="K42" i="13"/>
  <c r="F42" i="13"/>
  <c r="F41" i="13"/>
  <c r="F44" i="13"/>
  <c r="F43" i="13"/>
  <c r="F45" i="13"/>
  <c r="G16" i="33" l="1"/>
  <c r="G15" i="33"/>
  <c r="G19" i="33"/>
  <c r="G12" i="33"/>
  <c r="G14" i="33"/>
  <c r="G6" i="33"/>
  <c r="G4" i="33"/>
  <c r="G17" i="33"/>
  <c r="G5" i="33"/>
  <c r="G9" i="33"/>
  <c r="G18" i="33"/>
  <c r="G10" i="33"/>
  <c r="G13" i="33"/>
  <c r="G11" i="33"/>
  <c r="G8" i="33"/>
  <c r="G20" i="33"/>
  <c r="G7" i="33"/>
  <c r="O42" i="13"/>
  <c r="O41" i="13"/>
  <c r="O44" i="13"/>
  <c r="O43" i="13"/>
  <c r="O45" i="13"/>
  <c r="D15" i="16" l="1"/>
  <c r="F21" i="35" l="1"/>
  <c r="F12" i="16"/>
  <c r="F15" i="16" s="1"/>
  <c r="E15" i="16" l="1"/>
  <c r="C6" i="32"/>
  <c r="C7" i="32" s="1"/>
  <c r="C18" i="32" s="1"/>
  <c r="C19" i="32" s="1"/>
  <c r="C20" i="32" s="1"/>
  <c r="C21" i="32" s="1"/>
  <c r="G12" i="16"/>
  <c r="D13" i="26" l="1"/>
  <c r="D12" i="26" s="1"/>
  <c r="D16" i="26" s="1"/>
  <c r="D18" i="26" s="1"/>
  <c r="D20" i="26" s="1"/>
  <c r="D21" i="26"/>
  <c r="E15" i="35"/>
  <c r="G15" i="16"/>
  <c r="H12" i="16"/>
  <c r="I12" i="16" s="1"/>
  <c r="D22" i="26" l="1"/>
  <c r="D24" i="26" s="1"/>
  <c r="D28" i="26" s="1"/>
  <c r="D29" i="26" s="1"/>
  <c r="F22" i="35"/>
  <c r="D6" i="32"/>
  <c r="I15" i="16"/>
  <c r="F15" i="35"/>
  <c r="H15" i="16"/>
  <c r="J12" i="16"/>
  <c r="K12" i="16" s="1"/>
  <c r="F23" i="35" l="1"/>
  <c r="E6" i="32"/>
  <c r="E13" i="26"/>
  <c r="E12" i="26" s="1"/>
  <c r="E16" i="26" s="1"/>
  <c r="E18" i="26" s="1"/>
  <c r="E20" i="26" s="1"/>
  <c r="D7" i="32"/>
  <c r="D18" i="32" s="1"/>
  <c r="J15" i="16"/>
  <c r="K15" i="16"/>
  <c r="G15" i="35"/>
  <c r="F24" i="35" l="1"/>
  <c r="F6" i="32"/>
  <c r="D19" i="32"/>
  <c r="E7" i="32"/>
  <c r="E18" i="32" s="1"/>
  <c r="F13" i="26"/>
  <c r="F12" i="26" s="1"/>
  <c r="F16" i="26" s="1"/>
  <c r="F18" i="26" s="1"/>
  <c r="F20" i="26" s="1"/>
  <c r="D20" i="32" l="1"/>
  <c r="D21" i="32" s="1"/>
  <c r="E21" i="26"/>
  <c r="E22" i="26" s="1"/>
  <c r="E24" i="26" s="1"/>
  <c r="E28" i="26" s="1"/>
  <c r="E19" i="32"/>
  <c r="F7" i="32"/>
  <c r="F18" i="32" s="1"/>
  <c r="G13" i="26"/>
  <c r="G12" i="26" s="1"/>
  <c r="C6" i="33" s="1"/>
  <c r="E29" i="26" l="1"/>
  <c r="C30" i="26"/>
  <c r="E20" i="32"/>
  <c r="E21" i="32" s="1"/>
  <c r="F21" i="26"/>
  <c r="F22" i="26" s="1"/>
  <c r="F24" i="26" s="1"/>
  <c r="F28" i="26" s="1"/>
  <c r="C8" i="33"/>
  <c r="G16" i="26"/>
  <c r="G18" i="26" s="1"/>
  <c r="G20" i="26" s="1"/>
  <c r="F19" i="32"/>
  <c r="F29" i="26" l="1"/>
  <c r="F20" i="32"/>
  <c r="F21" i="32" s="1"/>
  <c r="G21" i="26"/>
  <c r="G22" i="26" s="1"/>
  <c r="G24" i="26" s="1"/>
  <c r="G28" i="26" s="1"/>
  <c r="F7" i="33"/>
  <c r="F16" i="33"/>
  <c r="F9" i="33"/>
  <c r="F12" i="33"/>
  <c r="F8" i="33"/>
  <c r="F5" i="33"/>
  <c r="F11" i="33"/>
  <c r="F17" i="33"/>
  <c r="F10" i="33"/>
  <c r="F18" i="33"/>
  <c r="C9" i="33"/>
  <c r="F15" i="33"/>
  <c r="F6" i="33"/>
  <c r="F19" i="33"/>
  <c r="F13" i="33"/>
  <c r="F20" i="33"/>
  <c r="F14" i="33"/>
  <c r="G29" i="26" l="1"/>
</calcChain>
</file>

<file path=xl/sharedStrings.xml><?xml version="1.0" encoding="utf-8"?>
<sst xmlns="http://schemas.openxmlformats.org/spreadsheetml/2006/main" count="432" uniqueCount="196">
  <si>
    <t>Total</t>
  </si>
  <si>
    <t>No</t>
  </si>
  <si>
    <t>Product</t>
  </si>
  <si>
    <t>Start-Up Investment (Unit: VND)</t>
  </si>
  <si>
    <t>No.</t>
  </si>
  <si>
    <t>Item</t>
  </si>
  <si>
    <t>Quantity</t>
  </si>
  <si>
    <t>Cost/unit</t>
  </si>
  <si>
    <t>Total CAPEX</t>
  </si>
  <si>
    <t>Working Capital Investment</t>
  </si>
  <si>
    <t>Cash</t>
  </si>
  <si>
    <t>Supplies</t>
  </si>
  <si>
    <t>Total Working Capital Investment</t>
  </si>
  <si>
    <t>Other Investment</t>
  </si>
  <si>
    <t>Total Other Investment</t>
  </si>
  <si>
    <t>Total Investment</t>
  </si>
  <si>
    <t>Capital assets</t>
  </si>
  <si>
    <t>Cost</t>
  </si>
  <si>
    <t>Salvage Value</t>
  </si>
  <si>
    <t>Detail</t>
  </si>
  <si>
    <t>Social insurance</t>
  </si>
  <si>
    <t>Health insurance</t>
  </si>
  <si>
    <t>Unemployment insurance</t>
  </si>
  <si>
    <t>Year 1</t>
  </si>
  <si>
    <t>Position</t>
  </si>
  <si>
    <t>Number</t>
  </si>
  <si>
    <t>Basic Salary</t>
  </si>
  <si>
    <t>Year</t>
  </si>
  <si>
    <t>May</t>
  </si>
  <si>
    <t>Year 2</t>
  </si>
  <si>
    <t>Year 3</t>
  </si>
  <si>
    <t>Year 4</t>
  </si>
  <si>
    <t>Year 5</t>
  </si>
  <si>
    <t>Expenses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</si>
  <si>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</si>
  <si>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</si>
  <si>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</si>
  <si>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</si>
  <si>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</si>
  <si>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</si>
  <si>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</si>
  <si>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</si>
  <si>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</si>
  <si>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</si>
  <si>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</si>
  <si>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Expense</t>
  </si>
  <si>
    <t>% Total Marketing Expenses</t>
  </si>
  <si>
    <t>Full Year</t>
  </si>
  <si>
    <t>Total Marketing Expenses</t>
  </si>
  <si>
    <t>Advertising</t>
  </si>
  <si>
    <t xml:space="preserve">Public relations </t>
  </si>
  <si>
    <t>Sales promotion</t>
  </si>
  <si>
    <t xml:space="preserve">Direct marketing </t>
  </si>
  <si>
    <t>Personal selling</t>
  </si>
  <si>
    <t>Total Expenses per Year</t>
  </si>
  <si>
    <t>Rental Expense</t>
  </si>
  <si>
    <t>Total Fixed cost</t>
  </si>
  <si>
    <t>Marketing expense</t>
  </si>
  <si>
    <t>Supplies Expenses</t>
  </si>
  <si>
    <t>Other expense</t>
  </si>
  <si>
    <t>Total Variable cost</t>
  </si>
  <si>
    <t>Price per Unit</t>
  </si>
  <si>
    <t>Total Sale</t>
  </si>
  <si>
    <t>Price per Class</t>
  </si>
  <si>
    <t>Fixed Cost</t>
  </si>
  <si>
    <t>EBITDA</t>
  </si>
  <si>
    <t>EBIT = EBITDA - D&amp;A</t>
  </si>
  <si>
    <t>Interest Expenses</t>
  </si>
  <si>
    <t>EBT</t>
  </si>
  <si>
    <t>Corporate income tax</t>
  </si>
  <si>
    <t>Business-license tax</t>
  </si>
  <si>
    <t>Net Income</t>
  </si>
  <si>
    <t>Cash Flow From Operations</t>
  </si>
  <si>
    <t>Remind cost</t>
  </si>
  <si>
    <t>PAYBACK PERIOD (year)</t>
  </si>
  <si>
    <t>Less: Capital Expenditure</t>
  </si>
  <si>
    <t>Less: Change in Working capital</t>
  </si>
  <si>
    <t>Less: Other Investment</t>
  </si>
  <si>
    <t xml:space="preserve">Operating expense </t>
  </si>
  <si>
    <t>Estimated Sale</t>
  </si>
  <si>
    <t>Variable Cost</t>
  </si>
  <si>
    <t>Total Unit Sale</t>
  </si>
  <si>
    <t>Sale</t>
  </si>
  <si>
    <t>Total Sales</t>
  </si>
  <si>
    <t>Unit Sale</t>
  </si>
  <si>
    <t>Total Fixed Cost</t>
  </si>
  <si>
    <t>Total Variable Cost</t>
  </si>
  <si>
    <t>Average price per unit</t>
  </si>
  <si>
    <t>Average Variable Cost per unit</t>
  </si>
  <si>
    <t>Break Even Point</t>
  </si>
  <si>
    <t>Sale growth</t>
  </si>
  <si>
    <t>Net Profit Margin</t>
  </si>
  <si>
    <t>Price</t>
  </si>
  <si>
    <t>COGS</t>
  </si>
  <si>
    <t>Break even point</t>
  </si>
  <si>
    <t>Gross Profit</t>
  </si>
  <si>
    <t>Marketing Expenses</t>
  </si>
  <si>
    <t>Fixed cost (Unit: VND)</t>
  </si>
  <si>
    <t>Variable cost (Unit: VND)</t>
  </si>
  <si>
    <t>Estimated Useful life (year)</t>
  </si>
  <si>
    <t>Insurance</t>
  </si>
  <si>
    <t>Depreciation and allocation of Capital Expenditure Investment (Unit: VND)</t>
  </si>
  <si>
    <t>Total Depreciation and allocation expenses</t>
  </si>
  <si>
    <t>Depreciation and allocation expenses per year</t>
  </si>
  <si>
    <t>Depreciation and allocation expenses</t>
  </si>
  <si>
    <t>Plus: Depreciation and allocation expenses</t>
  </si>
  <si>
    <t>Unit</t>
  </si>
  <si>
    <t>n/a</t>
  </si>
  <si>
    <t>Month</t>
  </si>
  <si>
    <t>The brand identity</t>
  </si>
  <si>
    <t>Hosting</t>
  </si>
  <si>
    <t>https://bkhost.vn/hosting/doanh-nghiep/</t>
  </si>
  <si>
    <t>https://www.hostinger.vn/?utm_campaign=Generic-Hosting|NT:Se|LO:VN&amp;utm_medium=ppc&amp;gad_source=1&amp;gclid=Cj0KCQjw8MG1BhCoARIsAHxSiQnNKzCcwaNKZxk7fWqsoniL578S3Pm7du-gC_2skDFg5CB9jqgccFUaAsFmEALw_wcB</t>
  </si>
  <si>
    <t>Operating Expense (Unit: VND)</t>
  </si>
  <si>
    <t>CEO</t>
  </si>
  <si>
    <t>Legal Procedure</t>
  </si>
  <si>
    <t>Trademark registration</t>
  </si>
  <si>
    <t>Tax code fee</t>
  </si>
  <si>
    <t>Intellectual property registration</t>
  </si>
  <si>
    <t>Business registration</t>
  </si>
  <si>
    <t>Digital signature</t>
  </si>
  <si>
    <t>Company seal &amp; seal registration</t>
  </si>
  <si>
    <t>Public information disclosure fee on national portal</t>
  </si>
  <si>
    <t>Invoice issuance fee</t>
  </si>
  <si>
    <t>Server</t>
  </si>
  <si>
    <t>https://vnexpress.net/gia-thue-mat-bang-ban-le-trung-tam-tp-hcm-tang-10-moi-nam-4837697.html#:~:text=Gi%C3%A1%20thu%C3%AA%20c%C3%B3%20s%E1%BB%B1%20t%C4%83ng,7%25%20so%20v%E1%BB%9Bi%20c%C3%B9ng%20k%E1%BB%B3.</t>
  </si>
  <si>
    <t>Capital expenditure (CAPEX)</t>
  </si>
  <si>
    <t>Capital expenditure</t>
  </si>
  <si>
    <t xml:space="preserve">Total Unit Sale </t>
  </si>
  <si>
    <t>Free Cash Flow</t>
  </si>
  <si>
    <t>Tài sản khác</t>
  </si>
  <si>
    <t>Rent deposit</t>
  </si>
  <si>
    <t>Note</t>
  </si>
  <si>
    <t>Price setting</t>
  </si>
  <si>
    <t>Role</t>
  </si>
  <si>
    <t>Sales &amp; Marketing Staff</t>
  </si>
  <si>
    <t>Website E-commerce</t>
  </si>
  <si>
    <t>Cửa hàng chính, nơi khách xem và đặt hàng</t>
  </si>
  <si>
    <t>Giao diện chuẩn SEO, tích hợp thanh toán, quản lý đơn hàng</t>
  </si>
  <si>
    <t>Đèn Studio (Softbox)</t>
  </si>
  <si>
    <t>Phông nền (Background)</t>
  </si>
  <si>
    <t>STUDIO</t>
  </si>
  <si>
    <t>Set</t>
  </si>
  <si>
    <t>Chụp ảnh sản phẩm đăng bán</t>
  </si>
  <si>
    <t>Độ phân giải cao, lấy nét tốt, ưu tiên dòng có màu sắc thực</t>
  </si>
  <si>
    <t>Tạo ánh sáng ổn định, rõ chi tiết vải</t>
  </si>
  <si>
    <t>Ánh sáng trắng (5500K), có thể điều chỉnh độ sáng</t>
  </si>
  <si>
    <t>Làm nổi bật màu sắc quần áo</t>
  </si>
  <si>
    <t>Vải hoặc giấy màu trung tính (trắng/xám/be), không nhăn</t>
  </si>
  <si>
    <t>Máy ảnh</t>
  </si>
  <si>
    <t>Insurance
(21,5%)</t>
  </si>
  <si>
    <t>Salary Expenses</t>
  </si>
  <si>
    <t>Estimated P&amp;L</t>
  </si>
  <si>
    <t>Áo phông</t>
  </si>
  <si>
    <t>Áo hudy</t>
  </si>
  <si>
    <t>Móc khoá</t>
  </si>
  <si>
    <t>Mũ</t>
  </si>
  <si>
    <t>Tất</t>
  </si>
  <si>
    <t>Áo bomber</t>
  </si>
  <si>
    <t>CHI PHÍ KHÁC</t>
  </si>
  <si>
    <t>TIKTAK COWORKING SPACE
Hotline: 0898.580.666
Email: booking@tiktak.com.vn
Website: https://tiktak.com.vn/
Địa chỉ:
TIKTAK 1: Tầng 5, Toà nhà Diamond Flower Tower, số 1 Hoàng Đạo Thúy, Phường Thanh Xuân, Hà Nội
TIKTAK 2: Tầng 12, Tòa nhà Hồng Hà Center, số 25 Lý Thường Kiệt, Phường Cửa Nam, Hà Nội</t>
  </si>
  <si>
    <t>13th-month bonus</t>
  </si>
  <si>
    <t>Expenses per Year</t>
  </si>
  <si>
    <t>Expenses per month</t>
  </si>
  <si>
    <t>Estimated Unit Sale Per Month</t>
  </si>
  <si>
    <t>Year1</t>
  </si>
  <si>
    <t>Year2</t>
  </si>
  <si>
    <t>Total COGS</t>
  </si>
  <si>
    <t>Chi phí bao bì &amp; Vật tư</t>
  </si>
  <si>
    <t>Túi Zip khóa kéo in Logo</t>
  </si>
  <si>
    <t>Túi niêm phong (Poly Mailer)</t>
  </si>
  <si>
    <t>Thẻ cảm ơn &amp; Sticker tặng kèm</t>
  </si>
  <si>
    <t>Giấy in nhiệt &amp; Băng keo</t>
  </si>
  <si>
    <t>Bill of Materials</t>
  </si>
  <si>
    <t>Chi phí gia công</t>
  </si>
  <si>
    <t>Total Cosg per unit</t>
  </si>
  <si>
    <t>Sales</t>
  </si>
  <si>
    <t>CÔNG NGHỆ VÀ MÁY MÓC</t>
  </si>
  <si>
    <t>Máy in đơn hàng</t>
  </si>
  <si>
    <t>In vận đơn</t>
  </si>
  <si>
    <t>Salary Expenses (Unit: VND)</t>
  </si>
  <si>
    <t>Estimated Cash Flow (Unit: VND)</t>
  </si>
  <si>
    <t>Net operating profit after tax</t>
  </si>
  <si>
    <t xml:space="preserve">Unit Sale </t>
  </si>
  <si>
    <t>Áo hoodie</t>
  </si>
  <si>
    <t>CPO</t>
  </si>
  <si>
    <t>CTO</t>
  </si>
  <si>
    <t>CMO</t>
  </si>
  <si>
    <t>CFO</t>
  </si>
  <si>
    <t>CDO</t>
  </si>
  <si>
    <t>Năm</t>
  </si>
  <si>
    <t>Units/tháng</t>
  </si>
  <si>
    <t>Doanh thu/năm</t>
  </si>
  <si>
    <t>~2.55 tỷ</t>
  </si>
  <si>
    <t>~3.17 tỷ</t>
  </si>
  <si>
    <t>~3.65 tỷ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</si>
</sst>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-* #,##0.00\ &quot;₫&quot;_-;\-* #,##0.00\ &quot;₫&quot;_-;_-* &quot;-&quot;??\ &quot;₫&quot;_-;_-@_-"/>
    <numFmt numFmtId="165" formatCode="_-* #,##0.00_-;\-* #,##0.00_-;_-* &quot;-&quot;??_-;_-@_-"/>
    <numFmt numFmtId="166" formatCode="_-* #,##0_-;\-* #,##0_-;_-* &quot;-&quot;??_-;_-@"/>
    <numFmt numFmtId="167" formatCode="#,##0\ [$VND]"/>
    <numFmt numFmtId="168" formatCode="_-* #,##0\ [$VND]_-;\-* #,##0\ [$VND]_-;_-* &quot;-&quot;\ [$VND]_-;_-@"/>
    <numFmt numFmtId="169" formatCode="#,##0_ ;\-#,##0\ "/>
    <numFmt numFmtId="170" formatCode="#,##0\ [$VND];\-#,##0\ [$VND]"/>
    <numFmt numFmtId="171" formatCode="_-* #,##0_-;\-* #,##0_-;_-* &quot;-&quot;??_-;_-@_-"/>
    <numFmt numFmtId="172" formatCode="_-* #,##0.00\ _₫_-;\-* #,##0.00\ _₫_-;_-* &quot;-&quot;??\ _₫_-;_-@_-"/>
    <numFmt numFmtId="173" formatCode="0.0%"/>
  </numFmts>
  <fonts count="69" x14ac:knownFonts="1">
    <font>
      <sz val="14"/>
      <color theme="1"/>
      <name val="Calibri"/>
      <scheme val="minor"/>
    </font>
    <font>
      <sz val="14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Calibri"/>
      <family val="2"/>
    </font>
    <font>
      <b/>
      <sz val="14"/>
      <color theme="1"/>
      <name val="Arial"/>
      <family val="2"/>
    </font>
    <font>
      <sz val="11"/>
      <color rgb="FF000000"/>
      <name val="Calibri"/>
      <family val="2"/>
    </font>
    <font>
      <sz val="14"/>
      <color theme="1"/>
      <name val="Times New Roman"/>
      <family val="1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  <charset val="163"/>
    </font>
    <font>
      <u/>
      <sz val="14"/>
      <color theme="10"/>
      <name val="Calibri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Calibri"/>
      <family val="1"/>
      <scheme val="major"/>
    </font>
    <font>
      <b/>
      <sz val="2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Arial"/>
      <family val="2"/>
      <charset val="163"/>
    </font>
    <font>
      <sz val="14"/>
      <color theme="1"/>
      <name val="Arial"/>
      <family val="2"/>
      <charset val="163"/>
    </font>
    <font>
      <sz val="14"/>
      <color theme="1"/>
      <name val="Calibri"/>
      <family val="2"/>
      <charset val="163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b/>
      <i/>
      <sz val="11"/>
      <color theme="1"/>
      <name val="Arial"/>
      <family val="2"/>
    </font>
    <font>
      <b/>
      <sz val="20"/>
      <name val="Arial"/>
      <family val="2"/>
    </font>
    <font>
      <sz val="14"/>
      <name val="Calibri"/>
      <family val="2"/>
    </font>
    <font>
      <sz val="20"/>
      <name val="Arial"/>
      <family val="2"/>
    </font>
    <font>
      <sz val="14"/>
      <name val="Arial"/>
      <family val="2"/>
    </font>
    <font>
      <sz val="14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4"/>
      <name val="Calibri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i/>
      <sz val="11"/>
      <color rgb="FFFF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i/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b/>
      <sz val="18"/>
      <color theme="1"/>
      <name val="Calibri"/>
      <family val="2"/>
      <scheme val="major"/>
    </font>
    <font>
      <b/>
      <sz val="16"/>
      <color theme="1"/>
      <name val="Calibri"/>
      <family val="2"/>
      <scheme val="major"/>
    </font>
    <font>
      <sz val="16"/>
      <name val="Calibri"/>
      <family val="2"/>
      <scheme val="major"/>
    </font>
    <font>
      <b/>
      <sz val="11"/>
      <color rgb="FF000000"/>
      <name val="Arial"/>
      <family val="2"/>
    </font>
    <font>
      <u/>
      <sz val="11"/>
      <color rgb="FF1155CC"/>
      <name val="Arial"/>
      <family val="2"/>
    </font>
    <font>
      <sz val="8"/>
      <name val="Calibri"/>
      <scheme val="minor"/>
    </font>
    <font>
      <sz val="14"/>
      <color theme="1"/>
      <name val="Calibri"/>
      <scheme val="minor"/>
    </font>
    <font>
      <b/>
      <sz val="11"/>
      <color theme="1"/>
      <name val="Arial"/>
      <family val="2"/>
      <charset val="163"/>
    </font>
    <font>
      <b/>
      <sz val="14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65" fontId="1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9" fontId="15" fillId="0" borderId="0" applyFont="0" applyFill="0" applyBorder="0" applyAlignment="0" applyProtection="0"/>
    <xf numFmtId="0" fontId="51" fillId="0" borderId="11"/>
    <xf numFmtId="165" fontId="51" fillId="0" borderId="11" applyFont="0" applyFill="0" applyBorder="0" applyAlignment="0" applyProtection="0"/>
    <xf numFmtId="44" fontId="51" fillId="0" borderId="11" applyFont="0" applyFill="0" applyBorder="0" applyAlignment="0" applyProtection="0"/>
    <xf numFmtId="9" fontId="51" fillId="0" borderId="11" applyFont="0" applyFill="0" applyBorder="0" applyAlignment="0" applyProtection="0"/>
    <xf numFmtId="0" fontId="52" fillId="0" borderId="11" applyNumberFormat="0" applyFill="0" applyBorder="0" applyAlignment="0" applyProtection="0"/>
    <xf numFmtId="0" fontId="53" fillId="0" borderId="11"/>
    <xf numFmtId="0" fontId="53" fillId="0" borderId="11"/>
    <xf numFmtId="0" fontId="66" fillId="0" borderId="11"/>
    <xf numFmtId="9" fontId="15" fillId="0" borderId="11" applyFont="0" applyFill="0" applyBorder="0" applyAlignment="0" applyProtection="0"/>
    <xf numFmtId="165" fontId="15" fillId="0" borderId="11" applyFont="0" applyFill="0" applyBorder="0" applyAlignment="0" applyProtection="0"/>
    <xf numFmtId="164" fontId="15" fillId="0" borderId="11" applyFont="0" applyFill="0" applyBorder="0" applyAlignment="0" applyProtection="0"/>
    <xf numFmtId="0" fontId="19" fillId="0" borderId="11" applyNumberFormat="0" applyFill="0" applyBorder="0" applyAlignment="0" applyProtection="0"/>
    <xf numFmtId="0" fontId="66" fillId="0" borderId="11"/>
    <xf numFmtId="0" fontId="15" fillId="0" borderId="11"/>
  </cellStyleXfs>
  <cellXfs count="261">
    <xf numFmtId="0" fontId="0" fillId="0" borderId="0" xfId="0"/>
    <xf numFmtId="0" fontId="2" fillId="0" borderId="0" xfId="0" applyFont="1" applyAlignment="1">
      <alignment vertical="center"/>
    </xf>
    <xf numFmtId="9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6" fontId="3" fillId="0" borderId="4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166" fontId="2" fillId="0" borderId="10" xfId="0" applyNumberFormat="1" applyFont="1" applyBorder="1" applyAlignment="1">
      <alignment vertical="center"/>
    </xf>
    <xf numFmtId="166" fontId="2" fillId="0" borderId="7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9" fontId="2" fillId="0" borderId="4" xfId="0" applyNumberFormat="1" applyFont="1" applyBorder="1" applyAlignment="1">
      <alignment vertical="center"/>
    </xf>
    <xf numFmtId="166" fontId="2" fillId="0" borderId="4" xfId="0" applyNumberFormat="1" applyFont="1" applyBorder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0" fontId="5" fillId="2" borderId="12" xfId="0" applyFont="1" applyFill="1" applyBorder="1" applyAlignment="1">
      <alignment horizontal="center" vertical="center" wrapText="1"/>
    </xf>
    <xf numFmtId="10" fontId="5" fillId="2" borderId="12" xfId="0" applyNumberFormat="1" applyFont="1" applyFill="1" applyBorder="1" applyAlignment="1">
      <alignment horizontal="center" vertical="center" wrapText="1"/>
    </xf>
    <xf numFmtId="10" fontId="5" fillId="2" borderId="0" xfId="0" applyNumberFormat="1" applyFont="1" applyFill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166" fontId="3" fillId="2" borderId="12" xfId="0" applyNumberFormat="1" applyFont="1" applyFill="1" applyBorder="1" applyAlignment="1">
      <alignment horizontal="center" vertical="center" wrapText="1"/>
    </xf>
    <xf numFmtId="0" fontId="44" fillId="2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44" fillId="2" borderId="12" xfId="0" applyFont="1" applyFill="1" applyBorder="1" applyAlignment="1">
      <alignment vertical="center"/>
    </xf>
    <xf numFmtId="0" fontId="44" fillId="2" borderId="12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1" fillId="2" borderId="11" xfId="0" applyFont="1" applyFill="1" applyBorder="1"/>
    <xf numFmtId="171" fontId="21" fillId="2" borderId="11" xfId="1" applyNumberFormat="1" applyFont="1" applyFill="1" applyBorder="1"/>
    <xf numFmtId="0" fontId="17" fillId="2" borderId="11" xfId="0" applyFont="1" applyFill="1" applyBorder="1" applyAlignment="1">
      <alignment vertical="center"/>
    </xf>
    <xf numFmtId="0" fontId="21" fillId="2" borderId="11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7" fontId="17" fillId="2" borderId="11" xfId="0" applyNumberFormat="1" applyFont="1" applyFill="1" applyBorder="1" applyAlignment="1">
      <alignment horizontal="right" vertical="center"/>
    </xf>
    <xf numFmtId="171" fontId="17" fillId="2" borderId="11" xfId="1" applyNumberFormat="1" applyFont="1" applyFill="1" applyBorder="1" applyAlignment="1">
      <alignment vertical="center"/>
    </xf>
    <xf numFmtId="167" fontId="17" fillId="2" borderId="12" xfId="0" applyNumberFormat="1" applyFont="1" applyFill="1" applyBorder="1" applyAlignment="1">
      <alignment horizontal="right" vertical="center" wrapText="1"/>
    </xf>
    <xf numFmtId="170" fontId="17" fillId="2" borderId="12" xfId="1" applyNumberFormat="1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66" fontId="8" fillId="2" borderId="0" xfId="0" applyNumberFormat="1" applyFont="1" applyFill="1" applyAlignment="1">
      <alignment vertical="center"/>
    </xf>
    <xf numFmtId="166" fontId="2" fillId="2" borderId="12" xfId="0" applyNumberFormat="1" applyFont="1" applyFill="1" applyBorder="1" applyAlignment="1">
      <alignment horizontal="right" vertical="center" wrapText="1"/>
    </xf>
    <xf numFmtId="166" fontId="2" fillId="2" borderId="12" xfId="0" applyNumberFormat="1" applyFont="1" applyFill="1" applyBorder="1" applyAlignment="1">
      <alignment horizontal="center" vertical="center" wrapText="1"/>
    </xf>
    <xf numFmtId="166" fontId="2" fillId="2" borderId="12" xfId="0" applyNumberFormat="1" applyFont="1" applyFill="1" applyBorder="1" applyAlignment="1">
      <alignment horizontal="right" vertical="center"/>
    </xf>
    <xf numFmtId="166" fontId="2" fillId="2" borderId="12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168" fontId="5" fillId="2" borderId="0" xfId="0" applyNumberFormat="1" applyFont="1" applyFill="1" applyAlignment="1">
      <alignment vertical="center"/>
    </xf>
    <xf numFmtId="0" fontId="11" fillId="2" borderId="12" xfId="0" applyFont="1" applyFill="1" applyBorder="1" applyAlignment="1">
      <alignment horizontal="center" vertical="center" wrapText="1"/>
    </xf>
    <xf numFmtId="166" fontId="11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168" fontId="12" fillId="2" borderId="12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69" fontId="12" fillId="2" borderId="12" xfId="0" applyNumberFormat="1" applyFont="1" applyFill="1" applyBorder="1" applyAlignment="1">
      <alignment horizontal="center" vertical="center" wrapText="1"/>
    </xf>
    <xf numFmtId="168" fontId="12" fillId="2" borderId="12" xfId="0" applyNumberFormat="1" applyFont="1" applyFill="1" applyBorder="1" applyAlignment="1">
      <alignment horizontal="right" vertical="center" wrapText="1"/>
    </xf>
    <xf numFmtId="169" fontId="11" fillId="2" borderId="12" xfId="0" applyNumberFormat="1" applyFont="1" applyFill="1" applyBorder="1" applyAlignment="1">
      <alignment horizontal="center" vertical="center" wrapText="1"/>
    </xf>
    <xf numFmtId="168" fontId="11" fillId="2" borderId="12" xfId="0" applyNumberFormat="1" applyFont="1" applyFill="1" applyBorder="1" applyAlignment="1">
      <alignment horizontal="right" vertical="center" wrapText="1"/>
    </xf>
    <xf numFmtId="170" fontId="17" fillId="2" borderId="11" xfId="0" applyNumberFormat="1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5" fillId="2" borderId="0" xfId="0" applyFont="1" applyFill="1"/>
    <xf numFmtId="0" fontId="27" fillId="2" borderId="0" xfId="0" applyFont="1" applyFill="1" applyAlignment="1">
      <alignment vertical="center"/>
    </xf>
    <xf numFmtId="0" fontId="28" fillId="2" borderId="0" xfId="0" applyFont="1" applyFill="1"/>
    <xf numFmtId="0" fontId="18" fillId="2" borderId="0" xfId="0" applyFont="1" applyFill="1"/>
    <xf numFmtId="0" fontId="21" fillId="2" borderId="0" xfId="0" applyFont="1" applyFill="1" applyAlignment="1">
      <alignment vertical="center"/>
    </xf>
    <xf numFmtId="0" fontId="16" fillId="2" borderId="12" xfId="0" applyFont="1" applyFill="1" applyBorder="1" applyAlignment="1">
      <alignment vertical="center"/>
    </xf>
    <xf numFmtId="166" fontId="3" fillId="2" borderId="12" xfId="0" applyNumberFormat="1" applyFont="1" applyFill="1" applyBorder="1" applyAlignment="1">
      <alignment vertical="center"/>
    </xf>
    <xf numFmtId="0" fontId="43" fillId="2" borderId="12" xfId="0" applyFont="1" applyFill="1" applyBorder="1" applyAlignment="1">
      <alignment horizontal="right" vertical="center"/>
    </xf>
    <xf numFmtId="10" fontId="43" fillId="2" borderId="12" xfId="3" applyNumberFormat="1" applyFont="1" applyFill="1" applyBorder="1" applyAlignment="1">
      <alignment vertical="center"/>
    </xf>
    <xf numFmtId="0" fontId="17" fillId="2" borderId="12" xfId="0" applyFont="1" applyFill="1" applyBorder="1" applyAlignment="1">
      <alignment horizontal="left" vertical="center" indent="2"/>
    </xf>
    <xf numFmtId="166" fontId="17" fillId="2" borderId="12" xfId="0" applyNumberFormat="1" applyFont="1" applyFill="1" applyBorder="1" applyAlignment="1">
      <alignment vertical="center"/>
    </xf>
    <xf numFmtId="0" fontId="16" fillId="2" borderId="12" xfId="0" applyFont="1" applyFill="1" applyBorder="1" applyAlignment="1">
      <alignment horizontal="left" vertical="center" indent="2"/>
    </xf>
    <xf numFmtId="0" fontId="26" fillId="2" borderId="12" xfId="0" applyFont="1" applyFill="1" applyBorder="1" applyAlignment="1">
      <alignment horizontal="left" vertical="center" indent="3"/>
    </xf>
    <xf numFmtId="166" fontId="26" fillId="2" borderId="12" xfId="0" applyNumberFormat="1" applyFont="1" applyFill="1" applyBorder="1" applyAlignment="1">
      <alignment vertical="center"/>
    </xf>
    <xf numFmtId="0" fontId="16" fillId="2" borderId="12" xfId="0" applyFont="1" applyFill="1" applyBorder="1" applyAlignment="1">
      <alignment horizontal="left" vertical="center"/>
    </xf>
    <xf numFmtId="0" fontId="49" fillId="2" borderId="12" xfId="0" applyFont="1" applyFill="1" applyBorder="1" applyAlignment="1">
      <alignment horizontal="left" vertical="center"/>
    </xf>
    <xf numFmtId="166" fontId="49" fillId="2" borderId="12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166" fontId="2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166" fontId="2" fillId="2" borderId="4" xfId="0" applyNumberFormat="1" applyFont="1" applyFill="1" applyBorder="1" applyAlignment="1">
      <alignment vertical="center" wrapText="1"/>
    </xf>
    <xf numFmtId="166" fontId="2" fillId="2" borderId="0" xfId="0" applyNumberFormat="1" applyFont="1" applyFill="1" applyAlignment="1">
      <alignment vertical="center" wrapText="1"/>
    </xf>
    <xf numFmtId="0" fontId="57" fillId="2" borderId="0" xfId="0" applyFont="1" applyFill="1" applyAlignment="1">
      <alignment vertical="center"/>
    </xf>
    <xf numFmtId="0" fontId="57" fillId="2" borderId="0" xfId="0" applyFont="1" applyFill="1"/>
    <xf numFmtId="0" fontId="57" fillId="2" borderId="0" xfId="0" applyFont="1" applyFill="1" applyAlignment="1">
      <alignment vertical="center" wrapText="1"/>
    </xf>
    <xf numFmtId="166" fontId="57" fillId="2" borderId="0" xfId="0" applyNumberFormat="1" applyFont="1" applyFill="1" applyAlignment="1">
      <alignment vertical="center" wrapText="1"/>
    </xf>
    <xf numFmtId="0" fontId="0" fillId="2" borderId="11" xfId="0" applyFill="1" applyBorder="1"/>
    <xf numFmtId="166" fontId="12" fillId="2" borderId="12" xfId="0" applyNumberFormat="1" applyFont="1" applyFill="1" applyBorder="1" applyAlignment="1">
      <alignment horizontal="center" vertical="center" wrapText="1"/>
    </xf>
    <xf numFmtId="166" fontId="13" fillId="2" borderId="12" xfId="0" applyNumberFormat="1" applyFont="1" applyFill="1" applyBorder="1" applyAlignment="1">
      <alignment vertical="center" wrapText="1"/>
    </xf>
    <xf numFmtId="171" fontId="3" fillId="2" borderId="12" xfId="1" applyNumberFormat="1" applyFont="1" applyFill="1" applyBorder="1" applyAlignment="1">
      <alignment horizontal="center" vertical="center" wrapText="1"/>
    </xf>
    <xf numFmtId="0" fontId="35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7" fillId="2" borderId="0" xfId="0" applyFont="1" applyFill="1"/>
    <xf numFmtId="0" fontId="39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38" fillId="2" borderId="0" xfId="0" applyFont="1" applyFill="1" applyAlignment="1">
      <alignment horizontal="left" vertical="center"/>
    </xf>
    <xf numFmtId="166" fontId="36" fillId="2" borderId="0" xfId="0" applyNumberFormat="1" applyFont="1" applyFill="1" applyAlignment="1">
      <alignment vertical="center"/>
    </xf>
    <xf numFmtId="171" fontId="44" fillId="2" borderId="12" xfId="1" applyNumberFormat="1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left" vertical="center" indent="2"/>
    </xf>
    <xf numFmtId="0" fontId="6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left" vertical="center" indent="2"/>
    </xf>
    <xf numFmtId="166" fontId="38" fillId="2" borderId="0" xfId="0" applyNumberFormat="1" applyFont="1" applyFill="1" applyAlignment="1">
      <alignment horizontal="left" vertical="center"/>
    </xf>
    <xf numFmtId="0" fontId="64" fillId="0" borderId="12" xfId="0" applyFont="1" applyBorder="1" applyAlignment="1">
      <alignment wrapText="1"/>
    </xf>
    <xf numFmtId="171" fontId="2" fillId="2" borderId="12" xfId="1" applyNumberFormat="1" applyFont="1" applyFill="1" applyBorder="1" applyAlignment="1">
      <alignment vertical="center"/>
    </xf>
    <xf numFmtId="0" fontId="45" fillId="2" borderId="12" xfId="2" applyFont="1" applyFill="1" applyBorder="1" applyAlignment="1">
      <alignment vertical="center" wrapText="1"/>
    </xf>
    <xf numFmtId="171" fontId="12" fillId="2" borderId="12" xfId="1" applyNumberFormat="1" applyFont="1" applyFill="1" applyBorder="1" applyAlignment="1">
      <alignment horizontal="center" vertical="center" wrapText="1"/>
    </xf>
    <xf numFmtId="0" fontId="19" fillId="2" borderId="0" xfId="2" applyFill="1" applyAlignment="1">
      <alignment vertical="center"/>
    </xf>
    <xf numFmtId="0" fontId="0" fillId="2" borderId="12" xfId="0" applyFill="1" applyBorder="1"/>
    <xf numFmtId="0" fontId="2" fillId="2" borderId="12" xfId="0" applyFont="1" applyFill="1" applyBorder="1" applyAlignment="1">
      <alignment horizontal="left" vertical="center" wrapText="1"/>
    </xf>
    <xf numFmtId="171" fontId="2" fillId="2" borderId="12" xfId="1" applyNumberFormat="1" applyFont="1" applyFill="1" applyBorder="1" applyAlignment="1">
      <alignment horizontal="center" vertical="center"/>
    </xf>
    <xf numFmtId="0" fontId="63" fillId="3" borderId="12" xfId="0" applyFont="1" applyFill="1" applyBorder="1" applyAlignment="1">
      <alignment horizontal="center" vertical="center"/>
    </xf>
    <xf numFmtId="10" fontId="36" fillId="2" borderId="0" xfId="3" applyNumberFormat="1" applyFont="1" applyFill="1" applyAlignment="1">
      <alignment vertical="center"/>
    </xf>
    <xf numFmtId="3" fontId="0" fillId="2" borderId="0" xfId="0" applyNumberFormat="1" applyFill="1" applyAlignment="1">
      <alignment horizontal="center"/>
    </xf>
    <xf numFmtId="171" fontId="0" fillId="2" borderId="0" xfId="1" applyNumberFormat="1" applyFont="1" applyFill="1" applyAlignment="1">
      <alignment horizontal="center"/>
    </xf>
    <xf numFmtId="172" fontId="0" fillId="2" borderId="0" xfId="0" applyNumberFormat="1" applyFill="1"/>
    <xf numFmtId="0" fontId="42" fillId="2" borderId="0" xfId="0" applyFont="1" applyFill="1"/>
    <xf numFmtId="3" fontId="0" fillId="2" borderId="12" xfId="0" applyNumberFormat="1" applyFill="1" applyBorder="1"/>
    <xf numFmtId="0" fontId="63" fillId="2" borderId="12" xfId="0" applyFont="1" applyFill="1" applyBorder="1" applyAlignment="1">
      <alignment horizontal="left" vertical="center"/>
    </xf>
    <xf numFmtId="0" fontId="67" fillId="2" borderId="12" xfId="0" applyFont="1" applyFill="1" applyBorder="1" applyAlignment="1">
      <alignment horizontal="center" vertical="center"/>
    </xf>
    <xf numFmtId="0" fontId="67" fillId="2" borderId="12" xfId="0" applyFont="1" applyFill="1" applyBorder="1" applyAlignment="1">
      <alignment vertical="center"/>
    </xf>
    <xf numFmtId="0" fontId="67" fillId="2" borderId="12" xfId="0" applyFont="1" applyFill="1" applyBorder="1" applyAlignment="1">
      <alignment horizontal="left" vertical="center"/>
    </xf>
    <xf numFmtId="0" fontId="14" fillId="2" borderId="0" xfId="0" applyFont="1" applyFill="1"/>
    <xf numFmtId="0" fontId="3" fillId="0" borderId="4" xfId="17" applyFont="1" applyBorder="1" applyAlignment="1">
      <alignment horizontal="center" vertical="center" wrapText="1"/>
    </xf>
    <xf numFmtId="0" fontId="2" fillId="0" borderId="4" xfId="17" applyFont="1" applyBorder="1" applyAlignment="1">
      <alignment vertical="center" wrapText="1"/>
    </xf>
    <xf numFmtId="173" fontId="2" fillId="2" borderId="0" xfId="3" applyNumberFormat="1" applyFont="1" applyFill="1" applyAlignment="1">
      <alignment vertical="center" wrapText="1"/>
    </xf>
    <xf numFmtId="166" fontId="3" fillId="2" borderId="12" xfId="0" applyNumberFormat="1" applyFont="1" applyFill="1" applyBorder="1" applyAlignment="1">
      <alignment horizontal="right" vertical="center" wrapText="1"/>
    </xf>
    <xf numFmtId="166" fontId="2" fillId="2" borderId="12" xfId="0" applyNumberFormat="1" applyFont="1" applyFill="1" applyBorder="1" applyAlignment="1">
      <alignment horizontal="center" vertical="center"/>
    </xf>
    <xf numFmtId="171" fontId="3" fillId="2" borderId="12" xfId="1" applyNumberFormat="1" applyFont="1" applyFill="1" applyBorder="1" applyAlignment="1">
      <alignment horizontal="center" vertical="center"/>
    </xf>
    <xf numFmtId="166" fontId="3" fillId="2" borderId="1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1" fontId="2" fillId="2" borderId="0" xfId="1" applyNumberFormat="1" applyFont="1" applyFill="1" applyAlignment="1">
      <alignment horizontal="center" vertical="center"/>
    </xf>
    <xf numFmtId="171" fontId="2" fillId="2" borderId="0" xfId="1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171" fontId="14" fillId="2" borderId="0" xfId="1" applyNumberFormat="1" applyFont="1" applyFill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38" fillId="0" borderId="12" xfId="2" applyFont="1" applyBorder="1" applyAlignment="1">
      <alignment horizontal="left" vertical="center"/>
    </xf>
    <xf numFmtId="0" fontId="38" fillId="0" borderId="12" xfId="0" applyFont="1" applyBorder="1" applyAlignment="1">
      <alignment horizontal="left" vertical="center"/>
    </xf>
    <xf numFmtId="0" fontId="38" fillId="0" borderId="12" xfId="2" applyFont="1" applyBorder="1" applyAlignment="1">
      <alignment horizontal="left" vertical="center" wrapText="1"/>
    </xf>
    <xf numFmtId="166" fontId="2" fillId="2" borderId="12" xfId="0" applyNumberFormat="1" applyFont="1" applyFill="1" applyBorder="1" applyAlignment="1">
      <alignment horizontal="left" vertical="center"/>
    </xf>
    <xf numFmtId="167" fontId="2" fillId="2" borderId="12" xfId="0" applyNumberFormat="1" applyFont="1" applyFill="1" applyBorder="1" applyAlignment="1">
      <alignment horizontal="right" vertical="center" wrapText="1"/>
    </xf>
    <xf numFmtId="1" fontId="3" fillId="2" borderId="12" xfId="0" applyNumberFormat="1" applyFont="1" applyFill="1" applyBorder="1" applyAlignment="1">
      <alignment horizontal="center" vertical="center" wrapText="1"/>
    </xf>
    <xf numFmtId="170" fontId="2" fillId="2" borderId="11" xfId="0" applyNumberFormat="1" applyFont="1" applyFill="1" applyBorder="1" applyAlignment="1">
      <alignment vertical="center"/>
    </xf>
    <xf numFmtId="0" fontId="13" fillId="2" borderId="12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166" fontId="8" fillId="2" borderId="11" xfId="0" applyNumberFormat="1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166" fontId="7" fillId="2" borderId="12" xfId="0" applyNumberFormat="1" applyFont="1" applyFill="1" applyBorder="1" applyAlignment="1">
      <alignment horizontal="left" vertical="center" wrapText="1"/>
    </xf>
    <xf numFmtId="0" fontId="23" fillId="2" borderId="12" xfId="1" applyNumberFormat="1" applyFont="1" applyFill="1" applyBorder="1" applyAlignment="1">
      <alignment horizontal="center" vertical="center" wrapText="1"/>
    </xf>
    <xf numFmtId="166" fontId="29" fillId="2" borderId="12" xfId="0" applyNumberFormat="1" applyFont="1" applyFill="1" applyBorder="1" applyAlignment="1">
      <alignment horizontal="center" vertical="center" wrapText="1"/>
    </xf>
    <xf numFmtId="171" fontId="22" fillId="2" borderId="12" xfId="1" applyNumberFormat="1" applyFont="1" applyFill="1" applyBorder="1" applyAlignment="1">
      <alignment horizontal="center" vertical="center" wrapText="1"/>
    </xf>
    <xf numFmtId="166" fontId="13" fillId="2" borderId="12" xfId="0" applyNumberFormat="1" applyFont="1" applyFill="1" applyBorder="1" applyAlignment="1">
      <alignment horizontal="right" vertical="center" wrapText="1"/>
    </xf>
    <xf numFmtId="0" fontId="30" fillId="2" borderId="12" xfId="0" applyFont="1" applyFill="1" applyBorder="1" applyAlignment="1">
      <alignment horizontal="center" vertical="center" wrapText="1"/>
    </xf>
    <xf numFmtId="166" fontId="30" fillId="2" borderId="12" xfId="0" applyNumberFormat="1" applyFont="1" applyFill="1" applyBorder="1" applyAlignment="1">
      <alignment vertical="center" wrapText="1"/>
    </xf>
    <xf numFmtId="166" fontId="30" fillId="2" borderId="12" xfId="0" applyNumberFormat="1" applyFont="1" applyFill="1" applyBorder="1" applyAlignment="1">
      <alignment horizontal="right" vertical="center" wrapText="1"/>
    </xf>
    <xf numFmtId="0" fontId="38" fillId="2" borderId="12" xfId="0" applyFont="1" applyFill="1" applyBorder="1" applyAlignment="1">
      <alignment vertical="center"/>
    </xf>
    <xf numFmtId="0" fontId="39" fillId="2" borderId="12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left" vertical="center"/>
    </xf>
    <xf numFmtId="166" fontId="39" fillId="2" borderId="12" xfId="0" applyNumberFormat="1" applyFont="1" applyFill="1" applyBorder="1" applyAlignment="1">
      <alignment vertical="center"/>
    </xf>
    <xf numFmtId="0" fontId="39" fillId="2" borderId="12" xfId="0" applyFont="1" applyFill="1" applyBorder="1" applyAlignment="1">
      <alignment horizontal="left" vertical="center" indent="1"/>
    </xf>
    <xf numFmtId="166" fontId="38" fillId="2" borderId="12" xfId="0" applyNumberFormat="1" applyFont="1" applyFill="1" applyBorder="1" applyAlignment="1">
      <alignment vertical="center"/>
    </xf>
    <xf numFmtId="0" fontId="38" fillId="2" borderId="12" xfId="0" applyFont="1" applyFill="1" applyBorder="1" applyAlignment="1">
      <alignment horizontal="left" vertical="center" indent="2"/>
    </xf>
    <xf numFmtId="0" fontId="38" fillId="2" borderId="12" xfId="0" applyFont="1" applyFill="1" applyBorder="1" applyAlignment="1">
      <alignment horizontal="left" vertical="center" indent="1"/>
    </xf>
    <xf numFmtId="166" fontId="50" fillId="2" borderId="12" xfId="0" applyNumberFormat="1" applyFont="1" applyFill="1" applyBorder="1" applyAlignment="1">
      <alignment vertical="center"/>
    </xf>
    <xf numFmtId="3" fontId="39" fillId="2" borderId="12" xfId="0" applyNumberFormat="1" applyFont="1" applyFill="1" applyBorder="1" applyAlignment="1">
      <alignment vertical="center"/>
    </xf>
    <xf numFmtId="166" fontId="38" fillId="2" borderId="12" xfId="0" applyNumberFormat="1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left" vertical="center"/>
    </xf>
    <xf numFmtId="0" fontId="40" fillId="2" borderId="13" xfId="0" applyFont="1" applyFill="1" applyBorder="1" applyAlignment="1">
      <alignment vertical="top"/>
    </xf>
    <xf numFmtId="4" fontId="40" fillId="2" borderId="12" xfId="0" applyNumberFormat="1" applyFont="1" applyFill="1" applyBorder="1" applyAlignment="1">
      <alignment vertical="center"/>
    </xf>
    <xf numFmtId="0" fontId="38" fillId="2" borderId="12" xfId="2" applyFont="1" applyFill="1" applyBorder="1" applyAlignment="1">
      <alignment vertical="center"/>
    </xf>
    <xf numFmtId="0" fontId="11" fillId="2" borderId="14" xfId="0" applyFont="1" applyFill="1" applyBorder="1" applyAlignment="1">
      <alignment horizontal="center" vertical="center" wrapText="1"/>
    </xf>
    <xf numFmtId="167" fontId="3" fillId="2" borderId="12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2" borderId="12" xfId="17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166" fontId="3" fillId="2" borderId="11" xfId="0" applyNumberFormat="1" applyFont="1" applyFill="1" applyBorder="1" applyAlignment="1">
      <alignment horizontal="right" vertical="center" wrapText="1"/>
    </xf>
    <xf numFmtId="0" fontId="61" fillId="2" borderId="12" xfId="0" applyFont="1" applyFill="1" applyBorder="1" applyAlignment="1">
      <alignment vertical="center"/>
    </xf>
    <xf numFmtId="0" fontId="62" fillId="2" borderId="12" xfId="0" applyFont="1" applyFill="1" applyBorder="1"/>
    <xf numFmtId="0" fontId="56" fillId="2" borderId="12" xfId="0" applyFont="1" applyFill="1" applyBorder="1" applyAlignment="1">
      <alignment horizontal="center" vertical="center" wrapText="1"/>
    </xf>
    <xf numFmtId="166" fontId="56" fillId="2" borderId="12" xfId="0" applyNumberFormat="1" applyFont="1" applyFill="1" applyBorder="1" applyAlignment="1">
      <alignment horizontal="center" vertical="center" wrapText="1"/>
    </xf>
    <xf numFmtId="0" fontId="57" fillId="2" borderId="12" xfId="0" applyFont="1" applyFill="1" applyBorder="1" applyAlignment="1">
      <alignment horizontal="center" vertical="center" wrapText="1"/>
    </xf>
    <xf numFmtId="0" fontId="57" fillId="2" borderId="12" xfId="0" applyFont="1" applyFill="1" applyBorder="1" applyAlignment="1">
      <alignment vertical="center" wrapText="1"/>
    </xf>
    <xf numFmtId="166" fontId="57" fillId="2" borderId="12" xfId="0" applyNumberFormat="1" applyFont="1" applyFill="1" applyBorder="1" applyAlignment="1">
      <alignment horizontal="right" vertical="center" wrapText="1"/>
    </xf>
    <xf numFmtId="166" fontId="57" fillId="2" borderId="12" xfId="0" applyNumberFormat="1" applyFont="1" applyFill="1" applyBorder="1" applyAlignment="1">
      <alignment vertical="center" wrapText="1"/>
    </xf>
    <xf numFmtId="166" fontId="57" fillId="0" borderId="12" xfId="0" applyNumberFormat="1" applyFont="1" applyBorder="1" applyAlignment="1">
      <alignment horizontal="right" vertical="center" wrapText="1"/>
    </xf>
    <xf numFmtId="166" fontId="58" fillId="2" borderId="12" xfId="0" applyNumberFormat="1" applyFont="1" applyFill="1" applyBorder="1" applyAlignment="1">
      <alignment horizontal="right" vertical="center" wrapText="1"/>
    </xf>
    <xf numFmtId="166" fontId="58" fillId="2" borderId="12" xfId="0" applyNumberFormat="1" applyFont="1" applyFill="1" applyBorder="1" applyAlignment="1">
      <alignment vertical="center" wrapText="1"/>
    </xf>
    <xf numFmtId="169" fontId="5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166" fontId="16" fillId="2" borderId="4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/>
    </xf>
    <xf numFmtId="0" fontId="6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6" fillId="2" borderId="12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35" fillId="2" borderId="12" xfId="0" applyFont="1" applyFill="1" applyBorder="1"/>
    <xf numFmtId="0" fontId="46" fillId="2" borderId="12" xfId="0" applyFont="1" applyFill="1" applyBorder="1" applyAlignment="1">
      <alignment horizontal="center" vertical="center"/>
    </xf>
    <xf numFmtId="0" fontId="47" fillId="2" borderId="12" xfId="0" applyFont="1" applyFill="1" applyBorder="1"/>
    <xf numFmtId="166" fontId="3" fillId="2" borderId="12" xfId="0" applyNumberFormat="1" applyFont="1" applyFill="1" applyBorder="1" applyAlignment="1">
      <alignment horizontal="center" vertical="center" wrapText="1"/>
    </xf>
    <xf numFmtId="0" fontId="55" fillId="2" borderId="12" xfId="0" applyFont="1" applyFill="1" applyBorder="1" applyAlignment="1">
      <alignment horizontal="center" vertical="center"/>
    </xf>
    <xf numFmtId="0" fontId="38" fillId="2" borderId="12" xfId="0" applyFont="1" applyFill="1" applyBorder="1"/>
    <xf numFmtId="171" fontId="3" fillId="2" borderId="12" xfId="1" applyNumberFormat="1" applyFont="1" applyFill="1" applyBorder="1" applyAlignment="1">
      <alignment horizontal="center" vertical="center" wrapText="1"/>
    </xf>
    <xf numFmtId="167" fontId="3" fillId="2" borderId="12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3" fillId="2" borderId="12" xfId="17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0" fillId="2" borderId="12" xfId="0" applyFill="1" applyBorder="1"/>
    <xf numFmtId="0" fontId="5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166" fontId="2" fillId="0" borderId="5" xfId="0" applyNumberFormat="1" applyFont="1" applyBorder="1" applyAlignment="1">
      <alignment horizontal="center" vertical="center"/>
    </xf>
    <xf numFmtId="0" fontId="1" fillId="0" borderId="6" xfId="0" applyFont="1" applyBorder="1"/>
    <xf numFmtId="0" fontId="20" fillId="0" borderId="8" xfId="0" applyFont="1" applyBorder="1" applyAlignment="1">
      <alignment horizontal="center" vertical="center"/>
    </xf>
    <xf numFmtId="0" fontId="1" fillId="0" borderId="9" xfId="0" applyFont="1" applyBorder="1"/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2" fillId="0" borderId="5" xfId="0" applyFont="1" applyBorder="1" applyAlignment="1">
      <alignment horizontal="center" vertical="center"/>
    </xf>
    <xf numFmtId="166" fontId="13" fillId="2" borderId="12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/>
    <xf numFmtId="0" fontId="10" fillId="2" borderId="12" xfId="0" applyFont="1" applyFill="1" applyBorder="1" applyAlignment="1">
      <alignment horizontal="center" vertical="center"/>
    </xf>
    <xf numFmtId="166" fontId="4" fillId="2" borderId="12" xfId="0" applyNumberFormat="1" applyFont="1" applyFill="1" applyBorder="1" applyAlignment="1">
      <alignment horizontal="center" vertical="center"/>
    </xf>
    <xf numFmtId="166" fontId="30" fillId="2" borderId="12" xfId="0" applyNumberFormat="1" applyFont="1" applyFill="1" applyBorder="1" applyAlignment="1">
      <alignment horizontal="center" vertical="center" wrapText="1"/>
    </xf>
    <xf numFmtId="0" fontId="31" fillId="2" borderId="12" xfId="0" applyFont="1" applyFill="1" applyBorder="1"/>
    <xf numFmtId="0" fontId="60" fillId="2" borderId="12" xfId="0" applyFont="1" applyFill="1" applyBorder="1" applyAlignment="1">
      <alignment horizontal="center" vertical="center"/>
    </xf>
    <xf numFmtId="0" fontId="58" fillId="2" borderId="12" xfId="0" applyFont="1" applyFill="1" applyBorder="1" applyAlignment="1">
      <alignment horizontal="center" vertical="center" wrapText="1"/>
    </xf>
    <xf numFmtId="0" fontId="59" fillId="2" borderId="12" xfId="0" applyFont="1" applyFill="1" applyBorder="1"/>
    <xf numFmtId="0" fontId="61" fillId="2" borderId="12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/>
    </xf>
    <xf numFmtId="0" fontId="34" fillId="2" borderId="12" xfId="0" applyFont="1" applyFill="1" applyBorder="1"/>
    <xf numFmtId="0" fontId="1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4" fillId="2" borderId="12" xfId="0" applyFont="1" applyFill="1" applyBorder="1" applyAlignment="1">
      <alignment horizontal="center"/>
    </xf>
  </cellXfs>
  <cellStyles count="18">
    <cellStyle name="Bình thường 2" xfId="4" xr:uid="{52855BB3-014A-44E9-82EE-C27EF6D2C320}"/>
    <cellStyle name="Comma" xfId="1" builtinId="3"/>
    <cellStyle name="Comma 2" xfId="13" xr:uid="{2F9933D6-86EB-4803-A959-34431797D347}"/>
    <cellStyle name="Currency 2" xfId="14" xr:uid="{DF68D4B8-885E-4CC8-9A19-49433A1970D5}"/>
    <cellStyle name="Dấu phẩy 2" xfId="5" xr:uid="{54DB93F1-432B-4D28-AA86-D78CC791B314}"/>
    <cellStyle name="Hyperlink" xfId="2" builtinId="8"/>
    <cellStyle name="Hyperlink 2" xfId="15" xr:uid="{9DC652D0-40E2-4076-BB78-63373813D9C5}"/>
    <cellStyle name="Normal" xfId="0" builtinId="0"/>
    <cellStyle name="Normal 2" xfId="9" xr:uid="{EA45C9DE-82E9-461F-93E2-471E55454014}"/>
    <cellStyle name="Normal 3" xfId="10" xr:uid="{80ABE1CF-12D4-4CE5-ACF0-5EEBA63A3B80}"/>
    <cellStyle name="Normal 4" xfId="11" xr:uid="{FB077233-2521-4554-876F-4B04B7CA6BCF}"/>
    <cellStyle name="Normal 5" xfId="16" xr:uid="{70BF731B-F973-4643-802B-2F6E0D62C134}"/>
    <cellStyle name="Normal 6" xfId="17" xr:uid="{13CD4898-92F9-4FEB-8536-F48632247633}"/>
    <cellStyle name="Percent" xfId="3" builtinId="5"/>
    <cellStyle name="Percent 2" xfId="12" xr:uid="{2488E411-42C4-4E56-B82C-363968CC7A1A}"/>
    <cellStyle name="Phần trăm 2" xfId="7" xr:uid="{0C1A9516-8228-40B3-97FA-D7010508138A}"/>
    <cellStyle name="Siêu kết nối 2" xfId="8" xr:uid="{410A2F48-9AEA-4F6C-9A57-7D8722A6189E}"/>
    <cellStyle name="Tiền tệ 2" xfId="6" xr:uid="{62FACB61-3773-4124-86E2-80CF1EA4C2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Start-Up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20-4E51-B30B-3FF57527F9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20-4E51-B30B-3FF57527F9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20-4E51-B30B-3FF57527F9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'Start-Up Investment'!$M$3:$M$5</c:f>
              <c:strCache>
                <c:ptCount val="3"/>
                <c:pt idx="0">
                  <c:v>Capital expenditure</c:v>
                </c:pt>
                <c:pt idx="1">
                  <c:v>Working Capital Investment</c:v>
                </c:pt>
                <c:pt idx="2">
                  <c:v>Other Investment</c:v>
                </c:pt>
              </c:strCache>
            </c:strRef>
          </c:cat>
          <c:val>
            <c:numRef>
              <c:f>'Start-Up Investment'!$N$3:$N$5</c:f>
              <c:numCache>
                <c:formatCode>_-* #,##0_-;\-* #,##0_-;_-* "-"??_-;_-@</c:formatCode>
                <c:ptCount val="3"/>
                <c:pt idx="0">
                  <c:v>63000000</c:v>
                </c:pt>
                <c:pt idx="1">
                  <c:v>205000000</c:v>
                </c:pt>
                <c:pt idx="2">
                  <c:v>25267000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D-41F8-B400-C11150AD4DF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'Salary Expenses'!$J$45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Expenses'!$J$46:$J$49</c:f>
              <c:numCache>
                <c:formatCode>General</c:formatCod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3-4C47-A67D-0AB85EC80A3B}"/>
            </c:ext>
          </c:extLst>
        </c:ser>
        <c:ser>
          <c:idx val="1"/>
          <c:order val="1"/>
          <c:tx>
            <c:strRef>
              <c:f>'Salary Expenses'!$K$45</c:f>
              <c:strCache>
                <c:ptCount val="1"/>
                <c:pt idx="0">
                  <c:v>Salary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Expenses'!$K$46:$K$49</c:f>
              <c:numCache>
                <c:formatCode>#,##0</c:formatCode>
                <c:ptCount val="4"/>
                <c:pt idx="0">
                  <c:v>517698800</c:v>
                </c:pt>
                <c:pt idx="1">
                  <c:v>657173600</c:v>
                </c:pt>
                <c:pt idx="2">
                  <c:v>855098600</c:v>
                </c:pt>
                <c:pt idx="3">
                  <c:v>1144918400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D3-4C47-A67D-0AB85EC80A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4044175"/>
        <c:axId val="458120671"/>
      </c:barChart>
      <c:catAx>
        <c:axId val="34404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20671"/>
        <c:crosses val="autoZero"/>
        <c:auto val="1"/>
        <c:lblAlgn val="ctr"/>
        <c:lblOffset val="100"/>
        <c:noMultiLvlLbl val="0"/>
      </c:catAx>
      <c:valAx>
        <c:axId val="45812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4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Estimated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'Estimated Sale'!$N$5</c:f>
              <c:strCache>
                <c:ptCount val="1"/>
                <c:pt idx="0">
                  <c:v>Total Sale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'Estimated Sale'!$L$6:$L$9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'Estimated Sale'!$N$6:$N$9</c:f>
              <c:numCache>
                <c:formatCode>#,##0_ ;\-#,##0\ </c:formatCode>
                <c:ptCount val="4"/>
                <c:pt idx="0">
                  <c:v>2551440000</c:v>
                </c:pt>
                <c:pt idx="1">
                  <c:v>3175020000</c:v>
                </c:pt>
                <c:pt idx="2">
                  <c:v>3647400000</c:v>
                </c:pt>
                <c:pt idx="3">
                  <c:v>4372920000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C-4DDC-84C1-ED251C65C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36660872"/>
        <c:axId val="736656552"/>
      </c:barChart>
      <c:lineChart>
        <c:grouping val="standard"/>
        <c:varyColors val="0"/>
        <c:ser>
          <c:idx val="0"/>
          <c:order val="0"/>
          <c:tx>
            <c:strRef>
              <c:f>'Estimated Sale'!$M$5</c:f>
              <c:strCache>
                <c:ptCount val="1"/>
                <c:pt idx="0">
                  <c:v>Unit Sale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'Estimated Sale'!$L$6:$L$9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'Estimated Sale'!$M$6:$M$9</c:f>
              <c:numCache>
                <c:formatCode>#,##0_ ;\-#,##0\ </c:formatCode>
                <c:ptCount val="4"/>
                <c:pt idx="0">
                  <c:v>25524</c:v>
                </c:pt>
                <c:pt idx="1">
                  <c:v>31752</c:v>
                </c:pt>
                <c:pt idx="2">
                  <c:v>36480</c:v>
                </c:pt>
                <c:pt idx="3">
                  <c:v>43752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C-4DDC-84C1-ED251C65C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655832"/>
        <c:axId val="736655472"/>
      </c:lineChart>
      <c:catAx>
        <c:axId val="736660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56552"/>
        <c:crosses val="autoZero"/>
        <c:auto val="1"/>
        <c:lblAlgn val="ctr"/>
        <c:lblOffset val="100"/>
        <c:noMultiLvlLbl val="0"/>
      </c:catAx>
      <c:valAx>
        <c:axId val="73665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60872"/>
        <c:crosses val="autoZero"/>
        <c:crossBetween val="between"/>
      </c:valAx>
      <c:valAx>
        <c:axId val="736655472"/>
        <c:scaling>
          <c:orientation val="minMax"/>
        </c:scaling>
        <c:delete val="0"/>
        <c:axPos val="r"/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55832"/>
        <c:crosses val="max"/>
        <c:crossBetween val="between"/>
      </c:valAx>
      <c:catAx>
        <c:axId val="736655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665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Cost Strucuture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80336832895892"/>
          <c:y val="0.17171296296296298"/>
          <c:w val="0.7713077427821521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'Operating Expenses -Year'!$E$20</c:f>
              <c:strCache>
                <c:ptCount val="1"/>
                <c:pt idx="0">
                  <c:v>Total Fixed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'Operating Expenses -Year'!$D$21:$D$24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'Operating Expenses -Year'!$E$21:$E$24</c:f>
              <c:numCache>
                <c:formatCode>_-* #,##0_-;\-* #,##0_-;_-* "-"??_-;_-@</c:formatCode>
                <c:ptCount val="4"/>
                <c:pt idx="0">
                  <c:v>637399600</c:v>
                </c:pt>
                <c:pt idx="1">
                  <c:v>779574400</c:v>
                </c:pt>
                <c:pt idx="2">
                  <c:v>989883400</c:v>
                </c:pt>
                <c:pt idx="3">
                  <c:v>1284383800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C-4DA5-9D78-11E434088047}"/>
            </c:ext>
          </c:extLst>
        </c:ser>
        <c:ser>
          <c:idx val="1"/>
          <c:order val="1"/>
          <c:tx>
            <c:strRef>
              <c:f>'Operating Expenses -Year'!$F$20</c:f>
              <c:strCache>
                <c:ptCount val="1"/>
                <c:pt idx="0">
                  <c:v>Total Variable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'Operating Expenses -Year'!$D$21:$D$24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'Operating Expenses -Year'!$F$21:$F$24</c:f>
              <c:numCache>
                <c:formatCode>_-* #,##0_-;\-* #,##0_-;_-* "-"??_-;_-@</c:formatCode>
                <c:ptCount val="4"/>
                <c:pt idx="0">
                  <c:v>1611780000</c:v>
                </c:pt>
                <c:pt idx="1">
                  <c:v>2002929000</c:v>
                </c:pt>
                <c:pt idx="2">
                  <c:v>2189946000</c:v>
                </c:pt>
                <c:pt idx="3">
                  <c:v>2623150200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C-4DA5-9D78-11E434088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534056"/>
        <c:axId val="786536576"/>
      </c:barChart>
      <c:catAx>
        <c:axId val="78653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36576"/>
        <c:crosses val="autoZero"/>
        <c:auto val="1"/>
        <c:lblAlgn val="ctr"/>
        <c:lblOffset val="100"/>
        <c:noMultiLvlLbl val="0"/>
      </c:catAx>
      <c:valAx>
        <c:axId val="78653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3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'Estimated Annual Cash Flow'!$B$28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'Estimated Annual Cash Flow'!$C$28:$G$28</c:f>
              <c:numCache>
                <c:formatCode>_-* #,##0_-;\-* #,##0_-;_-* "-"??_-;_-@</c:formatCode>
                <c:ptCount val="5"/>
                <c:pt idx="0">
                  <c:v>-293267000</c:v>
                </c:pt>
                <c:pt idx="1">
                  <c:v>246724986.66666672</c:v>
                </c:pt>
                <c:pt idx="2">
                  <c:v>318779946.66666663</c:v>
                </c:pt>
                <c:pt idx="3">
                  <c:v>376973146.66666663</c:v>
                </c:pt>
                <c:pt idx="4">
                  <c:v>372308800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E-4CAE-90E4-22C2FBCAB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548648"/>
        <c:axId val="729549008"/>
      </c:barChart>
      <c:catAx>
        <c:axId val="72954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49008"/>
        <c:crosses val="autoZero"/>
        <c:auto val="1"/>
        <c:lblAlgn val="ctr"/>
        <c:lblOffset val="100"/>
        <c:noMultiLvlLbl val="0"/>
      </c:catAx>
      <c:valAx>
        <c:axId val="72954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48648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2000" b="1"/>
              <a:t>Break even 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 Even Point'!$F$3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'Break Even Point'!$E$4:$E$20</c:f>
              <c:numCache>
                <c:formatCode>#,##0</c:formatCode>
                <c:ptCount val="17"/>
                <c:pt idx="0" formatCode="General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</c:numCache>
            </c:numRef>
          </c:cat>
          <c:val>
            <c:numRef>
              <c:f>'Break Even Point'!$F$4:$F$20</c:f>
              <c:numCache>
                <c:formatCode>#,##0</c:formatCode>
                <c:ptCount val="17"/>
                <c:pt idx="0">
                  <c:v>1284383800</c:v>
                </c:pt>
                <c:pt idx="1">
                  <c:v>1404293756.1162918</c:v>
                </c:pt>
                <c:pt idx="2">
                  <c:v>1524203712.2325835</c:v>
                </c:pt>
                <c:pt idx="3">
                  <c:v>1644113668.3488755</c:v>
                </c:pt>
                <c:pt idx="4">
                  <c:v>1764023624.4651673</c:v>
                </c:pt>
                <c:pt idx="5">
                  <c:v>1883933580.581459</c:v>
                </c:pt>
                <c:pt idx="6">
                  <c:v>2003843536.697751</c:v>
                </c:pt>
                <c:pt idx="7">
                  <c:v>2123753492.8140428</c:v>
                </c:pt>
                <c:pt idx="8">
                  <c:v>2243663448.9303346</c:v>
                </c:pt>
                <c:pt idx="9">
                  <c:v>2363573405.0466261</c:v>
                </c:pt>
                <c:pt idx="10">
                  <c:v>2483483361.1629181</c:v>
                </c:pt>
                <c:pt idx="11">
                  <c:v>2603393317.2792101</c:v>
                </c:pt>
                <c:pt idx="12">
                  <c:v>2723303273.3955021</c:v>
                </c:pt>
                <c:pt idx="13">
                  <c:v>2843213229.5117936</c:v>
                </c:pt>
                <c:pt idx="14">
                  <c:v>2963123185.6280856</c:v>
                </c:pt>
                <c:pt idx="15">
                  <c:v>3083033141.7443771</c:v>
                </c:pt>
                <c:pt idx="16">
                  <c:v>3202943097.8606691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6-4258-A0F7-2512A77F4118}"/>
            </c:ext>
          </c:extLst>
        </c:ser>
        <c:ser>
          <c:idx val="1"/>
          <c:order val="1"/>
          <c:tx>
            <c:strRef>
              <c:f>'Break Even Point'!$G$3</c:f>
              <c:strCache>
                <c:ptCount val="1"/>
                <c:pt idx="0">
                  <c:v>Sale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'Break Even Point'!$E$4:$E$20</c:f>
              <c:numCache>
                <c:formatCode>#,##0</c:formatCode>
                <c:ptCount val="17"/>
                <c:pt idx="0" formatCode="General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</c:numCache>
            </c:numRef>
          </c:cat>
          <c:val>
            <c:numRef>
              <c:f>'Break Even Point'!$G$4:$G$20</c:f>
              <c:numCache>
                <c:formatCode>_-* #,##0_-;\-* #,##0_-;_-* "-"??_-;_-@_-</c:formatCode>
                <c:ptCount val="17"/>
                <c:pt idx="0">
                  <c:v>0</c:v>
                </c:pt>
                <c:pt idx="1">
                  <c:v>199895776.19308832</c:v>
                </c:pt>
                <c:pt idx="2">
                  <c:v>399791552.38617665</c:v>
                </c:pt>
                <c:pt idx="3">
                  <c:v>599687328.579265</c:v>
                </c:pt>
                <c:pt idx="4">
                  <c:v>799583104.77235329</c:v>
                </c:pt>
                <c:pt idx="5">
                  <c:v>999478880.96544158</c:v>
                </c:pt>
                <c:pt idx="6">
                  <c:v>1199374657.15853</c:v>
                </c:pt>
                <c:pt idx="7">
                  <c:v>1399270433.3516183</c:v>
                </c:pt>
                <c:pt idx="8">
                  <c:v>1599166209.5447066</c:v>
                </c:pt>
                <c:pt idx="9">
                  <c:v>1799061985.7377949</c:v>
                </c:pt>
                <c:pt idx="10">
                  <c:v>1998957761.9308832</c:v>
                </c:pt>
                <c:pt idx="11">
                  <c:v>2198853538.1239715</c:v>
                </c:pt>
                <c:pt idx="12">
                  <c:v>2398749314.31706</c:v>
                </c:pt>
                <c:pt idx="13">
                  <c:v>2598645090.510148</c:v>
                </c:pt>
                <c:pt idx="14">
                  <c:v>2798540866.7032366</c:v>
                </c:pt>
                <c:pt idx="15">
                  <c:v>2998436642.8963251</c:v>
                </c:pt>
                <c:pt idx="16">
                  <c:v>3198332419.0894132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6-4258-A0F7-2512A77F4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054863"/>
        <c:axId val="1982069263"/>
      </c:lineChart>
      <c:catAx>
        <c:axId val="198205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69263"/>
        <c:crosses val="autoZero"/>
        <c:auto val="1"/>
        <c:lblAlgn val="ctr"/>
        <c:lblOffset val="100"/>
        <c:noMultiLvlLbl val="0"/>
      </c:catAx>
      <c:valAx>
        <c:axId val="198206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5486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'Estimated Income - Year'!$B$4</c:f>
              <c:strCache>
                <c:ptCount val="1"/>
                <c:pt idx="0">
                  <c:v>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'Estimated Income - Year'!$C$4:$F$4</c:f>
            </c:numRef>
          </c:val>
          <c:extLst>
            <c:ext xmlns:c16="http://schemas.microsoft.com/office/drawing/2014/chart" uri="{C3380CC4-5D6E-409C-BE32-E72D297353CC}">
              <c16:uniqueId val="{00000000-CDB2-41BE-BE62-50D8BBE6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526496"/>
        <c:axId val="786532976"/>
      </c:barChart>
      <c:lineChart>
        <c:grouping val="standard"/>
        <c:varyColors val="0"/>
        <c:ser>
          <c:idx val="1"/>
          <c:order val="1"/>
          <c:tx>
            <c:strRef>
              <c:f>'Estimated Income - Year'!$B$21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'Estimated Income - Year'!$C$21:$F$21</c:f>
            </c:numRef>
          </c:val>
          <c:smooth val="0"/>
          <c:extLst>
            <c:ext xmlns:c16="http://schemas.microsoft.com/office/drawing/2014/chart" uri="{C3380CC4-5D6E-409C-BE32-E72D297353CC}">
              <c16:uniqueId val="{00000001-CDB2-41BE-BE62-50D8BBE6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524696"/>
        <c:axId val="786533336"/>
      </c:lineChart>
      <c:catAx>
        <c:axId val="78652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32976"/>
        <c:crosses val="autoZero"/>
        <c:auto val="1"/>
        <c:lblAlgn val="ctr"/>
        <c:lblOffset val="100"/>
        <c:noMultiLvlLbl val="0"/>
      </c:catAx>
      <c:valAx>
        <c:axId val="7865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26496"/>
        <c:crosses val="autoZero"/>
        <c:crossBetween val="between"/>
      </c:valAx>
      <c:valAx>
        <c:axId val="78653333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24696"/>
        <c:crosses val="max"/>
        <c:crossBetween val="between"/>
      </c:valAx>
      <c:catAx>
        <c:axId val="786524696"/>
        <c:scaling>
          <c:orientation val="minMax"/>
        </c:scaling>
        <c:delete val="1"/>
        <c:axPos val="b"/>
        <c:majorTickMark val="none"/>
        <c:minorTickMark val="none"/>
        <c:tickLblPos val="nextTo"/>
        <c:crossAx val="786533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10</xdr:row>
      <xdr:rowOff>223836</xdr:rowOff>
    </xdr:from>
    <xdr:to>
      <xdr:col>14</xdr:col>
      <xdr:colOff>61912</xdr:colOff>
      <xdr:row>27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CE0D72-333C-C3E8-4A44-496F10EC0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499110</xdr:colOff>
      <xdr:row>39</xdr:row>
      <xdr:rowOff>201930</xdr:rowOff>
    </xdr:from>
    <xdr:to>
      <xdr:col>17</xdr:col>
      <xdr:colOff>461010</xdr:colOff>
      <xdr:row>54</xdr:row>
      <xdr:rowOff>171718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95E5D-BDC2-FF4F-7A6E-3E5F3E074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246528</xdr:colOff>
      <xdr:row>3</xdr:row>
      <xdr:rowOff>158002</xdr:rowOff>
    </xdr:from>
    <xdr:to>
      <xdr:col>18</xdr:col>
      <xdr:colOff>537881</xdr:colOff>
      <xdr:row>21</xdr:row>
      <xdr:rowOff>44825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7A992-EE98-F46C-D0EE-5C7531C27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3</xdr:row>
      <xdr:rowOff>90487</xdr:rowOff>
    </xdr:from>
    <xdr:to>
      <xdr:col>18</xdr:col>
      <xdr:colOff>461962</xdr:colOff>
      <xdr:row>22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45794-47F6-0167-82CC-0E1D15CA7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885264</xdr:colOff>
      <xdr:row>31</xdr:row>
      <xdr:rowOff>202825</xdr:rowOff>
    </xdr:from>
    <xdr:to>
      <xdr:col>6</xdr:col>
      <xdr:colOff>896471</xdr:colOff>
      <xdr:row>49</xdr:row>
      <xdr:rowOff>212912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54B807DD-E1DE-097D-C694-519D8FBF0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695326</xdr:colOff>
      <xdr:row>0</xdr:row>
      <xdr:rowOff>152400</xdr:rowOff>
    </xdr:from>
    <xdr:to>
      <xdr:col>11</xdr:col>
      <xdr:colOff>685800</xdr:colOff>
      <xdr:row>23</xdr:row>
      <xdr:rowOff>123825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B2952BCD-CB62-D2F3-051D-DC112867C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0</xdr:rowOff>
    </xdr:from>
    <xdr:ext cx="0" cy="9525"/>
    <xdr:pic>
      <xdr:nvPicPr>
        <xdr:cNvPr id="2" name="image1.gif">
          <a:extLst>
            <a:ext uri="{FF2B5EF4-FFF2-40B4-BE49-F238E27FC236}">
              <a16:creationId xmlns:a16="http://schemas.microsoft.com/office/drawing/2014/main" id="{66D5810E-E09A-4D0D-9933-CC752A731C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" name="image1.gif">
          <a:extLst>
            <a:ext uri="{FF2B5EF4-FFF2-40B4-BE49-F238E27FC236}">
              <a16:creationId xmlns:a16="http://schemas.microsoft.com/office/drawing/2014/main" id="{00ADD829-F76C-41C2-87AA-C8ACF0F6FB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" name="image1.gif">
          <a:extLst>
            <a:ext uri="{FF2B5EF4-FFF2-40B4-BE49-F238E27FC236}">
              <a16:creationId xmlns:a16="http://schemas.microsoft.com/office/drawing/2014/main" id="{D805C0C9-1E07-4867-9E2C-3E1A3A0BD9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" name="image1.gif">
          <a:extLst>
            <a:ext uri="{FF2B5EF4-FFF2-40B4-BE49-F238E27FC236}">
              <a16:creationId xmlns:a16="http://schemas.microsoft.com/office/drawing/2014/main" id="{0C43B7EA-60D2-4070-B6E0-663D7D4EC3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" name="image1.gif">
          <a:extLst>
            <a:ext uri="{FF2B5EF4-FFF2-40B4-BE49-F238E27FC236}">
              <a16:creationId xmlns:a16="http://schemas.microsoft.com/office/drawing/2014/main" id="{448244FF-ED8D-471A-A901-B6E5FD92A6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" name="image1.gif">
          <a:extLst>
            <a:ext uri="{FF2B5EF4-FFF2-40B4-BE49-F238E27FC236}">
              <a16:creationId xmlns:a16="http://schemas.microsoft.com/office/drawing/2014/main" id="{629D2CFB-6AC7-45DC-A87D-FC47C14DB5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8" name="image1.gif">
          <a:extLst>
            <a:ext uri="{FF2B5EF4-FFF2-40B4-BE49-F238E27FC236}">
              <a16:creationId xmlns:a16="http://schemas.microsoft.com/office/drawing/2014/main" id="{03927D83-CFDC-4D3F-9DC3-72C5685645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9" name="image1.gif">
          <a:extLst>
            <a:ext uri="{FF2B5EF4-FFF2-40B4-BE49-F238E27FC236}">
              <a16:creationId xmlns:a16="http://schemas.microsoft.com/office/drawing/2014/main" id="{C31BF62C-7FDA-4DE3-9A41-91C1DF8B1A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0" name="image1.gif">
          <a:extLst>
            <a:ext uri="{FF2B5EF4-FFF2-40B4-BE49-F238E27FC236}">
              <a16:creationId xmlns:a16="http://schemas.microsoft.com/office/drawing/2014/main" id="{7D4FFAEE-17CA-4571-83CE-E45828AB69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1" name="image1.gif">
          <a:extLst>
            <a:ext uri="{FF2B5EF4-FFF2-40B4-BE49-F238E27FC236}">
              <a16:creationId xmlns:a16="http://schemas.microsoft.com/office/drawing/2014/main" id="{99A8C5B2-C98C-4C91-A1AD-4BDA96DB85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2" name="image1.gif">
          <a:extLst>
            <a:ext uri="{FF2B5EF4-FFF2-40B4-BE49-F238E27FC236}">
              <a16:creationId xmlns:a16="http://schemas.microsoft.com/office/drawing/2014/main" id="{5ED3B32E-CF48-4959-9BED-E2CE6D6A80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3" name="image1.gif">
          <a:extLst>
            <a:ext uri="{FF2B5EF4-FFF2-40B4-BE49-F238E27FC236}">
              <a16:creationId xmlns:a16="http://schemas.microsoft.com/office/drawing/2014/main" id="{36F1C817-DEFF-4BA8-94F8-FDEF652778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4" name="image1.gif">
          <a:extLst>
            <a:ext uri="{FF2B5EF4-FFF2-40B4-BE49-F238E27FC236}">
              <a16:creationId xmlns:a16="http://schemas.microsoft.com/office/drawing/2014/main" id="{6C7CE39A-CA2E-4EC6-8005-3374522CDD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5" name="image1.gif">
          <a:extLst>
            <a:ext uri="{FF2B5EF4-FFF2-40B4-BE49-F238E27FC236}">
              <a16:creationId xmlns:a16="http://schemas.microsoft.com/office/drawing/2014/main" id="{0AAA7A42-0CC2-4D8A-8D2B-5173774E0D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6" name="image1.gif">
          <a:extLst>
            <a:ext uri="{FF2B5EF4-FFF2-40B4-BE49-F238E27FC236}">
              <a16:creationId xmlns:a16="http://schemas.microsoft.com/office/drawing/2014/main" id="{8B8BC0EA-956E-40C0-B37B-1E67511C34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7" name="image1.gif">
          <a:extLst>
            <a:ext uri="{FF2B5EF4-FFF2-40B4-BE49-F238E27FC236}">
              <a16:creationId xmlns:a16="http://schemas.microsoft.com/office/drawing/2014/main" id="{587BF26C-5F16-430F-983B-66E48AE30F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8" name="image1.gif">
          <a:extLst>
            <a:ext uri="{FF2B5EF4-FFF2-40B4-BE49-F238E27FC236}">
              <a16:creationId xmlns:a16="http://schemas.microsoft.com/office/drawing/2014/main" id="{35DA8C0E-C922-4E6B-B960-C108BCA7A9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9" name="image1.gif">
          <a:extLst>
            <a:ext uri="{FF2B5EF4-FFF2-40B4-BE49-F238E27FC236}">
              <a16:creationId xmlns:a16="http://schemas.microsoft.com/office/drawing/2014/main" id="{94E009C3-F8DA-478A-AA06-F4F51DB207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0" name="image1.gif">
          <a:extLst>
            <a:ext uri="{FF2B5EF4-FFF2-40B4-BE49-F238E27FC236}">
              <a16:creationId xmlns:a16="http://schemas.microsoft.com/office/drawing/2014/main" id="{51FCE65C-A876-4516-847D-56E61A8272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1" name="image1.gif">
          <a:extLst>
            <a:ext uri="{FF2B5EF4-FFF2-40B4-BE49-F238E27FC236}">
              <a16:creationId xmlns:a16="http://schemas.microsoft.com/office/drawing/2014/main" id="{22D67E3D-98E0-4BFA-B906-9047C4D614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2" name="image1.gif">
          <a:extLst>
            <a:ext uri="{FF2B5EF4-FFF2-40B4-BE49-F238E27FC236}">
              <a16:creationId xmlns:a16="http://schemas.microsoft.com/office/drawing/2014/main" id="{36DE4B58-EDDF-4D83-ACDE-919B201AFE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3" name="image1.gif">
          <a:extLst>
            <a:ext uri="{FF2B5EF4-FFF2-40B4-BE49-F238E27FC236}">
              <a16:creationId xmlns:a16="http://schemas.microsoft.com/office/drawing/2014/main" id="{41A27E50-49E2-40AE-B597-64B8BFF1E3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4" name="image1.gif">
          <a:extLst>
            <a:ext uri="{FF2B5EF4-FFF2-40B4-BE49-F238E27FC236}">
              <a16:creationId xmlns:a16="http://schemas.microsoft.com/office/drawing/2014/main" id="{B918C3ED-ED42-44B2-B4F2-69D37269AF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5" name="image1.gif">
          <a:extLst>
            <a:ext uri="{FF2B5EF4-FFF2-40B4-BE49-F238E27FC236}">
              <a16:creationId xmlns:a16="http://schemas.microsoft.com/office/drawing/2014/main" id="{F4CEE09B-97CF-448F-9963-240E336D0A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6" name="image1.gif">
          <a:extLst>
            <a:ext uri="{FF2B5EF4-FFF2-40B4-BE49-F238E27FC236}">
              <a16:creationId xmlns:a16="http://schemas.microsoft.com/office/drawing/2014/main" id="{972F6FDB-C04E-4136-9512-CE26CCEBA1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7" name="image1.gif">
          <a:extLst>
            <a:ext uri="{FF2B5EF4-FFF2-40B4-BE49-F238E27FC236}">
              <a16:creationId xmlns:a16="http://schemas.microsoft.com/office/drawing/2014/main" id="{DF33105F-C9DA-4586-9DB9-937BE3A26D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8" name="image1.gif">
          <a:extLst>
            <a:ext uri="{FF2B5EF4-FFF2-40B4-BE49-F238E27FC236}">
              <a16:creationId xmlns:a16="http://schemas.microsoft.com/office/drawing/2014/main" id="{C4C1BB5C-57B8-4030-BE49-8B283A0A3D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9" name="image1.gif">
          <a:extLst>
            <a:ext uri="{FF2B5EF4-FFF2-40B4-BE49-F238E27FC236}">
              <a16:creationId xmlns:a16="http://schemas.microsoft.com/office/drawing/2014/main" id="{02EAD24C-7B41-4542-A609-50DFC1A74A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0" name="image1.gif">
          <a:extLst>
            <a:ext uri="{FF2B5EF4-FFF2-40B4-BE49-F238E27FC236}">
              <a16:creationId xmlns:a16="http://schemas.microsoft.com/office/drawing/2014/main" id="{9B53DBBE-EB9F-4CC0-88DC-A97ECC4618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1" name="image1.gif">
          <a:extLst>
            <a:ext uri="{FF2B5EF4-FFF2-40B4-BE49-F238E27FC236}">
              <a16:creationId xmlns:a16="http://schemas.microsoft.com/office/drawing/2014/main" id="{C026E8C7-1082-4053-98E8-246B98AE0E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2" name="image1.gif">
          <a:extLst>
            <a:ext uri="{FF2B5EF4-FFF2-40B4-BE49-F238E27FC236}">
              <a16:creationId xmlns:a16="http://schemas.microsoft.com/office/drawing/2014/main" id="{5734DAC6-950E-4963-8E31-20CF571947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3" name="image1.gif">
          <a:extLst>
            <a:ext uri="{FF2B5EF4-FFF2-40B4-BE49-F238E27FC236}">
              <a16:creationId xmlns:a16="http://schemas.microsoft.com/office/drawing/2014/main" id="{FB17C170-9A65-48E1-9E7A-CE4F4680A3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4" name="image1.gif">
          <a:extLst>
            <a:ext uri="{FF2B5EF4-FFF2-40B4-BE49-F238E27FC236}">
              <a16:creationId xmlns:a16="http://schemas.microsoft.com/office/drawing/2014/main" id="{2D5960CC-4B77-4491-B411-3BFD4DD557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5" name="image1.gif">
          <a:extLst>
            <a:ext uri="{FF2B5EF4-FFF2-40B4-BE49-F238E27FC236}">
              <a16:creationId xmlns:a16="http://schemas.microsoft.com/office/drawing/2014/main" id="{7D9E05B4-5BD0-4A7B-AEAB-8093623854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6" name="image1.gif">
          <a:extLst>
            <a:ext uri="{FF2B5EF4-FFF2-40B4-BE49-F238E27FC236}">
              <a16:creationId xmlns:a16="http://schemas.microsoft.com/office/drawing/2014/main" id="{9E394748-65AD-4E09-95E8-E65E478F51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7" name="image1.gif">
          <a:extLst>
            <a:ext uri="{FF2B5EF4-FFF2-40B4-BE49-F238E27FC236}">
              <a16:creationId xmlns:a16="http://schemas.microsoft.com/office/drawing/2014/main" id="{A42A9C41-C458-450D-A9A3-B93848E240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8" name="image1.gif">
          <a:extLst>
            <a:ext uri="{FF2B5EF4-FFF2-40B4-BE49-F238E27FC236}">
              <a16:creationId xmlns:a16="http://schemas.microsoft.com/office/drawing/2014/main" id="{F460561B-9D93-4DD0-8218-D658E7AEF8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9" name="image1.gif">
          <a:extLst>
            <a:ext uri="{FF2B5EF4-FFF2-40B4-BE49-F238E27FC236}">
              <a16:creationId xmlns:a16="http://schemas.microsoft.com/office/drawing/2014/main" id="{95B85EA0-916F-4F24-80F0-E32EF7D6D3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0" name="image1.gif">
          <a:extLst>
            <a:ext uri="{FF2B5EF4-FFF2-40B4-BE49-F238E27FC236}">
              <a16:creationId xmlns:a16="http://schemas.microsoft.com/office/drawing/2014/main" id="{5FA1B1FF-44CF-4085-AA86-60B54C2BD5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1" name="image1.gif">
          <a:extLst>
            <a:ext uri="{FF2B5EF4-FFF2-40B4-BE49-F238E27FC236}">
              <a16:creationId xmlns:a16="http://schemas.microsoft.com/office/drawing/2014/main" id="{0B257C1F-7B0A-4BD2-A91F-6A8A09115F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2" name="image1.gif">
          <a:extLst>
            <a:ext uri="{FF2B5EF4-FFF2-40B4-BE49-F238E27FC236}">
              <a16:creationId xmlns:a16="http://schemas.microsoft.com/office/drawing/2014/main" id="{A443AFF6-8CB7-458E-90CB-01F6B7C268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3" name="image1.gif">
          <a:extLst>
            <a:ext uri="{FF2B5EF4-FFF2-40B4-BE49-F238E27FC236}">
              <a16:creationId xmlns:a16="http://schemas.microsoft.com/office/drawing/2014/main" id="{A5759B38-BE19-4354-8363-43355DFEE3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4" name="image1.gif">
          <a:extLst>
            <a:ext uri="{FF2B5EF4-FFF2-40B4-BE49-F238E27FC236}">
              <a16:creationId xmlns:a16="http://schemas.microsoft.com/office/drawing/2014/main" id="{4AA76FC8-0B11-4A3B-8D4E-1DA609EA9F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5" name="image1.gif">
          <a:extLst>
            <a:ext uri="{FF2B5EF4-FFF2-40B4-BE49-F238E27FC236}">
              <a16:creationId xmlns:a16="http://schemas.microsoft.com/office/drawing/2014/main" id="{252AD770-EC81-453A-AC1A-00AD91986C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6" name="image1.gif">
          <a:extLst>
            <a:ext uri="{FF2B5EF4-FFF2-40B4-BE49-F238E27FC236}">
              <a16:creationId xmlns:a16="http://schemas.microsoft.com/office/drawing/2014/main" id="{1CD87E67-3A43-4ED7-A926-1C1291D12D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7" name="image1.gif">
          <a:extLst>
            <a:ext uri="{FF2B5EF4-FFF2-40B4-BE49-F238E27FC236}">
              <a16:creationId xmlns:a16="http://schemas.microsoft.com/office/drawing/2014/main" id="{D0FAB054-D2C5-4EA8-9E2E-E11E5C7EC5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8" name="image1.gif">
          <a:extLst>
            <a:ext uri="{FF2B5EF4-FFF2-40B4-BE49-F238E27FC236}">
              <a16:creationId xmlns:a16="http://schemas.microsoft.com/office/drawing/2014/main" id="{42DD88AA-6C90-4F4B-9622-E5D9BBADE9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9" name="image1.gif">
          <a:extLst>
            <a:ext uri="{FF2B5EF4-FFF2-40B4-BE49-F238E27FC236}">
              <a16:creationId xmlns:a16="http://schemas.microsoft.com/office/drawing/2014/main" id="{D6F09E3D-9598-4CDD-904C-6A3D71FF01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0" name="image1.gif">
          <a:extLst>
            <a:ext uri="{FF2B5EF4-FFF2-40B4-BE49-F238E27FC236}">
              <a16:creationId xmlns:a16="http://schemas.microsoft.com/office/drawing/2014/main" id="{AE0C46B0-DBF0-45F1-ADF1-984CB7DA69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1" name="image1.gif">
          <a:extLst>
            <a:ext uri="{FF2B5EF4-FFF2-40B4-BE49-F238E27FC236}">
              <a16:creationId xmlns:a16="http://schemas.microsoft.com/office/drawing/2014/main" id="{04C6972A-3831-4ACB-8FD8-7BF9A90941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2" name="image1.gif">
          <a:extLst>
            <a:ext uri="{FF2B5EF4-FFF2-40B4-BE49-F238E27FC236}">
              <a16:creationId xmlns:a16="http://schemas.microsoft.com/office/drawing/2014/main" id="{52A7C162-1968-4EF9-B93C-A48F78567D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3" name="image1.gif">
          <a:extLst>
            <a:ext uri="{FF2B5EF4-FFF2-40B4-BE49-F238E27FC236}">
              <a16:creationId xmlns:a16="http://schemas.microsoft.com/office/drawing/2014/main" id="{DAD07431-D918-4C3E-AE8C-20AECB48E4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4" name="image1.gif">
          <a:extLst>
            <a:ext uri="{FF2B5EF4-FFF2-40B4-BE49-F238E27FC236}">
              <a16:creationId xmlns:a16="http://schemas.microsoft.com/office/drawing/2014/main" id="{BB72B3A1-171C-44BB-9442-7984674A21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5" name="image1.gif">
          <a:extLst>
            <a:ext uri="{FF2B5EF4-FFF2-40B4-BE49-F238E27FC236}">
              <a16:creationId xmlns:a16="http://schemas.microsoft.com/office/drawing/2014/main" id="{3B6F4774-F9C4-4C62-AF9D-C79864114F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6" name="image1.gif">
          <a:extLst>
            <a:ext uri="{FF2B5EF4-FFF2-40B4-BE49-F238E27FC236}">
              <a16:creationId xmlns:a16="http://schemas.microsoft.com/office/drawing/2014/main" id="{22F243ED-CC26-48DE-B9D7-0BCFBE351C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7" name="image1.gif">
          <a:extLst>
            <a:ext uri="{FF2B5EF4-FFF2-40B4-BE49-F238E27FC236}">
              <a16:creationId xmlns:a16="http://schemas.microsoft.com/office/drawing/2014/main" id="{D7AF3C1C-EA05-4385-9744-4FAA4D7587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8" name="image1.gif">
          <a:extLst>
            <a:ext uri="{FF2B5EF4-FFF2-40B4-BE49-F238E27FC236}">
              <a16:creationId xmlns:a16="http://schemas.microsoft.com/office/drawing/2014/main" id="{994DBB18-29E9-4227-BD82-A79B950CE1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9" name="image1.gif">
          <a:extLst>
            <a:ext uri="{FF2B5EF4-FFF2-40B4-BE49-F238E27FC236}">
              <a16:creationId xmlns:a16="http://schemas.microsoft.com/office/drawing/2014/main" id="{486115A4-7790-4D65-9162-2C4C4FB83C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0" name="image1.gif">
          <a:extLst>
            <a:ext uri="{FF2B5EF4-FFF2-40B4-BE49-F238E27FC236}">
              <a16:creationId xmlns:a16="http://schemas.microsoft.com/office/drawing/2014/main" id="{D8AA17EA-E1EE-469A-B220-02C048A4CF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1" name="image1.gif">
          <a:extLst>
            <a:ext uri="{FF2B5EF4-FFF2-40B4-BE49-F238E27FC236}">
              <a16:creationId xmlns:a16="http://schemas.microsoft.com/office/drawing/2014/main" id="{6C97C235-EECC-44AC-9728-43A63153DE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2" name="image1.gif">
          <a:extLst>
            <a:ext uri="{FF2B5EF4-FFF2-40B4-BE49-F238E27FC236}">
              <a16:creationId xmlns:a16="http://schemas.microsoft.com/office/drawing/2014/main" id="{494D3A2D-AAF3-4132-8FAE-40C671DDC2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3" name="image1.gif">
          <a:extLst>
            <a:ext uri="{FF2B5EF4-FFF2-40B4-BE49-F238E27FC236}">
              <a16:creationId xmlns:a16="http://schemas.microsoft.com/office/drawing/2014/main" id="{7C5D29DE-0C8B-4C34-A3B1-A6A3CDF0CE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4" name="image1.gif">
          <a:extLst>
            <a:ext uri="{FF2B5EF4-FFF2-40B4-BE49-F238E27FC236}">
              <a16:creationId xmlns:a16="http://schemas.microsoft.com/office/drawing/2014/main" id="{666E2FB6-19AB-4E9E-8510-87BD68751F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5" name="image1.gif">
          <a:extLst>
            <a:ext uri="{FF2B5EF4-FFF2-40B4-BE49-F238E27FC236}">
              <a16:creationId xmlns:a16="http://schemas.microsoft.com/office/drawing/2014/main" id="{0DD77A70-3BB6-4EEF-B21C-29EC5F28F9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6" name="image1.gif">
          <a:extLst>
            <a:ext uri="{FF2B5EF4-FFF2-40B4-BE49-F238E27FC236}">
              <a16:creationId xmlns:a16="http://schemas.microsoft.com/office/drawing/2014/main" id="{ADC2269B-0A3F-4315-8B68-43C2527C29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7" name="image1.gif">
          <a:extLst>
            <a:ext uri="{FF2B5EF4-FFF2-40B4-BE49-F238E27FC236}">
              <a16:creationId xmlns:a16="http://schemas.microsoft.com/office/drawing/2014/main" id="{D30956DD-C96F-4519-A28E-3DF60971F4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8" name="image1.gif">
          <a:extLst>
            <a:ext uri="{FF2B5EF4-FFF2-40B4-BE49-F238E27FC236}">
              <a16:creationId xmlns:a16="http://schemas.microsoft.com/office/drawing/2014/main" id="{B525ACFD-A8B6-4C56-9B26-7A836F0DAD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9" name="image1.gif">
          <a:extLst>
            <a:ext uri="{FF2B5EF4-FFF2-40B4-BE49-F238E27FC236}">
              <a16:creationId xmlns:a16="http://schemas.microsoft.com/office/drawing/2014/main" id="{AAC2CD14-61C2-4EDF-824C-E36E991E12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0" name="image1.gif">
          <a:extLst>
            <a:ext uri="{FF2B5EF4-FFF2-40B4-BE49-F238E27FC236}">
              <a16:creationId xmlns:a16="http://schemas.microsoft.com/office/drawing/2014/main" id="{B10F0199-4BD0-46D6-AB3F-5A16051C38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1" name="image1.gif">
          <a:extLst>
            <a:ext uri="{FF2B5EF4-FFF2-40B4-BE49-F238E27FC236}">
              <a16:creationId xmlns:a16="http://schemas.microsoft.com/office/drawing/2014/main" id="{78BF1B0D-EDC8-43E4-93A9-6B6F6AD785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2" name="image1.gif">
          <a:extLst>
            <a:ext uri="{FF2B5EF4-FFF2-40B4-BE49-F238E27FC236}">
              <a16:creationId xmlns:a16="http://schemas.microsoft.com/office/drawing/2014/main" id="{749467E7-AD8A-4A60-9E8B-DC1E7DA5A5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3" name="image1.gif">
          <a:extLst>
            <a:ext uri="{FF2B5EF4-FFF2-40B4-BE49-F238E27FC236}">
              <a16:creationId xmlns:a16="http://schemas.microsoft.com/office/drawing/2014/main" id="{41FAD3E4-EA57-4775-8DC8-A0C2D276E9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4" name="image1.gif">
          <a:extLst>
            <a:ext uri="{FF2B5EF4-FFF2-40B4-BE49-F238E27FC236}">
              <a16:creationId xmlns:a16="http://schemas.microsoft.com/office/drawing/2014/main" id="{14C22244-992C-47D3-9D24-5C194D19FC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5" name="image1.gif">
          <a:extLst>
            <a:ext uri="{FF2B5EF4-FFF2-40B4-BE49-F238E27FC236}">
              <a16:creationId xmlns:a16="http://schemas.microsoft.com/office/drawing/2014/main" id="{0E315F35-7D55-41DB-BB43-C6471A606D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6" name="image1.gif">
          <a:extLst>
            <a:ext uri="{FF2B5EF4-FFF2-40B4-BE49-F238E27FC236}">
              <a16:creationId xmlns:a16="http://schemas.microsoft.com/office/drawing/2014/main" id="{E5DF25C0-CAE4-4A9C-AED4-B1C6494CFD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7" name="image1.gif">
          <a:extLst>
            <a:ext uri="{FF2B5EF4-FFF2-40B4-BE49-F238E27FC236}">
              <a16:creationId xmlns:a16="http://schemas.microsoft.com/office/drawing/2014/main" id="{99CE3317-8EDE-4A20-9C19-C0444572A3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8" name="image1.gif">
          <a:extLst>
            <a:ext uri="{FF2B5EF4-FFF2-40B4-BE49-F238E27FC236}">
              <a16:creationId xmlns:a16="http://schemas.microsoft.com/office/drawing/2014/main" id="{66DA4E8A-2289-45F1-8C5E-72B6EFE43E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9" name="image1.gif">
          <a:extLst>
            <a:ext uri="{FF2B5EF4-FFF2-40B4-BE49-F238E27FC236}">
              <a16:creationId xmlns:a16="http://schemas.microsoft.com/office/drawing/2014/main" id="{2790CE48-1865-4559-9CD7-E1CDB4B622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80" name="image1.gif">
          <a:extLst>
            <a:ext uri="{FF2B5EF4-FFF2-40B4-BE49-F238E27FC236}">
              <a16:creationId xmlns:a16="http://schemas.microsoft.com/office/drawing/2014/main" id="{549A89D0-7371-4BA0-9B53-541BCF7459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81" name="image1.gif">
          <a:extLst>
            <a:ext uri="{FF2B5EF4-FFF2-40B4-BE49-F238E27FC236}">
              <a16:creationId xmlns:a16="http://schemas.microsoft.com/office/drawing/2014/main" id="{922D0B73-4660-4AB4-A796-16E11EC91F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02250" y="4619625"/>
          <a:ext cx="0" cy="952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361950</xdr:colOff>
      <xdr:row>22</xdr:row>
      <xdr:rowOff>104774</xdr:rowOff>
    </xdr:from>
    <xdr:to>
      <xdr:col>5</xdr:col>
      <xdr:colOff>1066800</xdr:colOff>
      <xdr:row>39</xdr:row>
      <xdr:rowOff>171450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FBCEB891-2A08-19BE-959B-9E417AA59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FFFFFF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vnexpress.net/gia-thue-mat-bang-ban-le-trung-tam-tp-hcm-tang-10-moi-nam-4837697.ht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235"/>
  <sheetViews>
    <sheetView tabSelected="1" topLeftCell="B1" zoomScale="80" zoomScaleNormal="55" workbookViewId="0">
      <selection activeCell="I32" sqref="I32"/>
    </sheetView>
  </sheetViews>
  <sheetFormatPr defaultColWidth="10.08203125" defaultRowHeight="17.399999999999999" x14ac:dyDescent="0.3"/>
  <cols>
    <col min="1" max="1" width="4.33203125" style="132" customWidth="1"/>
    <col min="2" max="2" width="3.08203125" style="110" customWidth="1"/>
    <col min="3" max="3" width="37.83203125" style="132" customWidth="1"/>
    <col min="4" max="4" width="7.1640625" style="143" customWidth="1"/>
    <col min="5" max="5" width="8.1640625" style="144" customWidth="1"/>
    <col min="6" max="6" width="10.83203125" style="145" customWidth="1"/>
    <col min="7" max="7" width="12.5" style="132" customWidth="1"/>
    <col min="8" max="8" width="13.1640625" style="132" customWidth="1"/>
    <col min="9" max="9" width="10.9140625" style="29" customWidth="1"/>
    <col min="10" max="10" width="16.83203125" style="132" customWidth="1"/>
    <col min="11" max="12" width="4.33203125" style="132" customWidth="1"/>
    <col min="13" max="13" width="28.4140625" style="132" customWidth="1"/>
    <col min="14" max="14" width="15.08203125" style="132" customWidth="1"/>
    <col min="15" max="15" width="4.33203125" style="132" customWidth="1"/>
    <col min="16" max="16" width="7.1640625" style="132" customWidth="1"/>
    <col min="17" max="20" width="4.33203125" style="132" customWidth="1"/>
    <col min="21" max="27" width="7.08203125" style="132" customWidth="1"/>
    <col min="28" max="16384" width="10.08203125" style="132"/>
  </cols>
  <sheetData>
    <row r="2" spans="1:20" ht="24.6" x14ac:dyDescent="0.4">
      <c r="A2" s="24"/>
      <c r="B2" s="211" t="s">
        <v>3</v>
      </c>
      <c r="C2" s="212"/>
      <c r="D2" s="212"/>
      <c r="E2" s="212"/>
      <c r="F2" s="212"/>
      <c r="G2" s="212"/>
      <c r="H2" s="212"/>
      <c r="I2" s="212"/>
      <c r="J2" s="24"/>
      <c r="K2" s="24"/>
      <c r="L2" s="24"/>
      <c r="M2" s="211" t="s">
        <v>3</v>
      </c>
      <c r="N2" s="212"/>
      <c r="O2" s="24"/>
      <c r="P2" s="24"/>
      <c r="Q2" s="24"/>
      <c r="R2" s="24"/>
      <c r="S2" s="24"/>
      <c r="T2" s="24"/>
    </row>
    <row r="3" spans="1:20" ht="21" x14ac:dyDescent="0.35">
      <c r="A3" s="24"/>
      <c r="B3" s="213" t="s">
        <v>126</v>
      </c>
      <c r="C3" s="214"/>
      <c r="D3" s="214"/>
      <c r="E3" s="214"/>
      <c r="F3" s="214"/>
      <c r="G3" s="214"/>
      <c r="H3" s="214"/>
      <c r="I3" s="214"/>
      <c r="J3" s="24"/>
      <c r="K3" s="24"/>
      <c r="L3" s="24"/>
      <c r="M3" s="119" t="s">
        <v>127</v>
      </c>
      <c r="N3" s="42">
        <f>G14</f>
        <v>63000000</v>
      </c>
      <c r="O3" s="24"/>
      <c r="P3" s="24"/>
      <c r="Q3" s="24"/>
      <c r="R3" s="24"/>
      <c r="S3" s="24"/>
      <c r="T3" s="24"/>
    </row>
    <row r="4" spans="1:20" ht="27.6" x14ac:dyDescent="0.3">
      <c r="A4" s="24"/>
      <c r="B4" s="18" t="s">
        <v>4</v>
      </c>
      <c r="C4" s="18" t="s">
        <v>5</v>
      </c>
      <c r="D4" s="18" t="s">
        <v>106</v>
      </c>
      <c r="E4" s="18" t="s">
        <v>6</v>
      </c>
      <c r="F4" s="94" t="s">
        <v>7</v>
      </c>
      <c r="G4" s="19" t="s">
        <v>0</v>
      </c>
      <c r="H4" s="19" t="s">
        <v>134</v>
      </c>
      <c r="I4" s="19" t="s">
        <v>132</v>
      </c>
      <c r="J4" s="24"/>
      <c r="K4" s="24"/>
      <c r="L4" s="24"/>
      <c r="M4" s="119" t="s">
        <v>9</v>
      </c>
      <c r="N4" s="42">
        <f>G19</f>
        <v>205000000</v>
      </c>
      <c r="O4" s="24"/>
      <c r="P4" s="135"/>
      <c r="Q4" s="24"/>
      <c r="R4" s="24"/>
      <c r="S4" s="24"/>
      <c r="T4" s="24"/>
    </row>
    <row r="5" spans="1:20" ht="18.75" customHeight="1" x14ac:dyDescent="0.3">
      <c r="A5" s="24"/>
      <c r="B5" s="106">
        <v>1</v>
      </c>
      <c r="C5" s="128" t="s">
        <v>177</v>
      </c>
      <c r="D5" s="20"/>
      <c r="E5" s="26"/>
      <c r="F5" s="120"/>
      <c r="G5" s="42">
        <f>F5*E5</f>
        <v>0</v>
      </c>
      <c r="H5" s="42"/>
      <c r="I5" s="146"/>
      <c r="J5" s="24"/>
      <c r="K5" s="24"/>
      <c r="L5" s="24"/>
      <c r="M5" s="119" t="s">
        <v>13</v>
      </c>
      <c r="N5" s="42">
        <f>G33</f>
        <v>25267000</v>
      </c>
      <c r="O5" s="24"/>
      <c r="P5" s="135"/>
      <c r="Q5" s="24"/>
      <c r="R5" s="24"/>
      <c r="S5" s="24"/>
      <c r="T5" s="24"/>
    </row>
    <row r="6" spans="1:20" x14ac:dyDescent="0.3">
      <c r="A6" s="24"/>
      <c r="B6" s="18"/>
      <c r="C6" s="105" t="s">
        <v>136</v>
      </c>
      <c r="D6" s="20" t="s">
        <v>5</v>
      </c>
      <c r="E6" s="26">
        <v>1</v>
      </c>
      <c r="F6" s="120">
        <v>20000000</v>
      </c>
      <c r="G6" s="42">
        <f t="shared" ref="G6:G13" si="0">F6*E6</f>
        <v>20000000</v>
      </c>
      <c r="H6" s="150" t="s">
        <v>137</v>
      </c>
      <c r="I6" s="147" t="s">
        <v>138</v>
      </c>
      <c r="J6" s="24"/>
      <c r="K6" s="24"/>
      <c r="L6" s="24"/>
      <c r="M6" s="18" t="s">
        <v>15</v>
      </c>
      <c r="N6" s="136">
        <f>N3+N4+N5</f>
        <v>293267000</v>
      </c>
      <c r="O6" s="24"/>
      <c r="P6" s="24"/>
      <c r="Q6" s="24"/>
      <c r="R6" s="24"/>
      <c r="S6" s="24"/>
      <c r="T6" s="24"/>
    </row>
    <row r="7" spans="1:20" x14ac:dyDescent="0.3">
      <c r="A7" s="24"/>
      <c r="B7" s="18"/>
      <c r="C7" s="105" t="s">
        <v>178</v>
      </c>
      <c r="D7" s="20" t="s">
        <v>5</v>
      </c>
      <c r="E7" s="26">
        <v>2</v>
      </c>
      <c r="F7" s="120">
        <v>1000000</v>
      </c>
      <c r="G7" s="42">
        <f t="shared" si="0"/>
        <v>2000000</v>
      </c>
      <c r="H7" s="150" t="s">
        <v>179</v>
      </c>
      <c r="I7" s="147"/>
      <c r="J7" s="24"/>
      <c r="K7" s="24"/>
      <c r="L7" s="24"/>
      <c r="M7" s="188"/>
      <c r="N7" s="189"/>
      <c r="O7" s="24"/>
      <c r="P7" s="24"/>
      <c r="Q7" s="24"/>
      <c r="R7" s="24"/>
      <c r="S7" s="24"/>
      <c r="T7" s="24"/>
    </row>
    <row r="8" spans="1:20" ht="18.75" customHeight="1" x14ac:dyDescent="0.3">
      <c r="A8" s="24"/>
      <c r="B8" s="106">
        <v>2</v>
      </c>
      <c r="C8" s="128" t="s">
        <v>141</v>
      </c>
      <c r="D8" s="20"/>
      <c r="E8" s="26"/>
      <c r="F8" s="120"/>
      <c r="G8" s="42">
        <f t="shared" si="0"/>
        <v>0</v>
      </c>
      <c r="H8" s="150"/>
      <c r="I8" s="147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 x14ac:dyDescent="0.3">
      <c r="A9" s="24"/>
      <c r="B9" s="18"/>
      <c r="C9" s="105" t="s">
        <v>149</v>
      </c>
      <c r="D9" s="20" t="s">
        <v>5</v>
      </c>
      <c r="E9" s="26">
        <v>1</v>
      </c>
      <c r="F9" s="120">
        <v>20000000</v>
      </c>
      <c r="G9" s="42">
        <f t="shared" si="0"/>
        <v>20000000</v>
      </c>
      <c r="H9" s="150" t="s">
        <v>143</v>
      </c>
      <c r="I9" s="148" t="s">
        <v>144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 ht="18.75" customHeight="1" x14ac:dyDescent="0.3">
      <c r="A10" s="24"/>
      <c r="B10" s="106"/>
      <c r="C10" s="105" t="s">
        <v>139</v>
      </c>
      <c r="D10" s="20" t="s">
        <v>5</v>
      </c>
      <c r="E10" s="26">
        <v>3</v>
      </c>
      <c r="F10" s="120">
        <v>2000000</v>
      </c>
      <c r="G10" s="42">
        <f t="shared" si="0"/>
        <v>6000000</v>
      </c>
      <c r="H10" s="150" t="s">
        <v>145</v>
      </c>
      <c r="I10" s="147" t="s">
        <v>146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20" ht="18" customHeight="1" x14ac:dyDescent="0.3">
      <c r="A11" s="24"/>
      <c r="B11" s="106"/>
      <c r="C11" s="105" t="s">
        <v>140</v>
      </c>
      <c r="D11" s="20" t="s">
        <v>142</v>
      </c>
      <c r="E11" s="26">
        <v>1</v>
      </c>
      <c r="F11" s="120">
        <v>5000000</v>
      </c>
      <c r="G11" s="42">
        <f t="shared" si="0"/>
        <v>5000000</v>
      </c>
      <c r="H11" s="150" t="s">
        <v>147</v>
      </c>
      <c r="I11" s="147" t="s">
        <v>148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</row>
    <row r="12" spans="1:20" ht="18.75" customHeight="1" x14ac:dyDescent="0.3">
      <c r="A12" s="24"/>
      <c r="B12" s="106">
        <v>3</v>
      </c>
      <c r="C12" s="128" t="s">
        <v>159</v>
      </c>
      <c r="D12" s="20"/>
      <c r="E12" s="26"/>
      <c r="F12" s="120"/>
      <c r="G12" s="42">
        <f t="shared" si="0"/>
        <v>0</v>
      </c>
      <c r="H12" s="42"/>
      <c r="I12" s="147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spans="1:20" ht="18.75" customHeight="1" x14ac:dyDescent="0.3">
      <c r="A13" s="24"/>
      <c r="B13" s="106"/>
      <c r="C13" s="105" t="s">
        <v>130</v>
      </c>
      <c r="D13" s="26" t="s">
        <v>107</v>
      </c>
      <c r="E13" s="26">
        <v>1</v>
      </c>
      <c r="F13" s="120">
        <v>10000000</v>
      </c>
      <c r="G13" s="42">
        <f t="shared" si="0"/>
        <v>10000000</v>
      </c>
      <c r="H13" s="42"/>
      <c r="I13" s="149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 x14ac:dyDescent="0.3">
      <c r="A14" s="24"/>
      <c r="B14" s="209" t="s">
        <v>8</v>
      </c>
      <c r="C14" s="210"/>
      <c r="D14" s="210"/>
      <c r="E14" s="210"/>
      <c r="F14" s="210"/>
      <c r="G14" s="136">
        <f>SUM(G5:G13)</f>
        <v>63000000</v>
      </c>
      <c r="H14" s="136"/>
      <c r="I14" s="119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0" ht="21" x14ac:dyDescent="0.35">
      <c r="A15" s="24"/>
      <c r="B15" s="213" t="s">
        <v>9</v>
      </c>
      <c r="C15" s="214"/>
      <c r="D15" s="214"/>
      <c r="E15" s="214"/>
      <c r="F15" s="214"/>
      <c r="G15" s="214"/>
      <c r="H15" s="214"/>
      <c r="I15" s="21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ht="27.6" x14ac:dyDescent="0.3">
      <c r="A16" s="24"/>
      <c r="B16" s="18" t="s">
        <v>4</v>
      </c>
      <c r="C16" s="18" t="s">
        <v>5</v>
      </c>
      <c r="D16" s="18" t="s">
        <v>106</v>
      </c>
      <c r="E16" s="18" t="s">
        <v>6</v>
      </c>
      <c r="F16" s="94" t="s">
        <v>7</v>
      </c>
      <c r="G16" s="19" t="s">
        <v>0</v>
      </c>
      <c r="H16" s="19"/>
      <c r="I16" s="25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</row>
    <row r="17" spans="1:20" x14ac:dyDescent="0.3">
      <c r="A17" s="79"/>
      <c r="B17" s="106">
        <v>1</v>
      </c>
      <c r="C17" s="22" t="s">
        <v>10</v>
      </c>
      <c r="D17" s="26" t="s">
        <v>107</v>
      </c>
      <c r="E17" s="20">
        <v>1</v>
      </c>
      <c r="F17" s="104">
        <v>200000000</v>
      </c>
      <c r="G17" s="137">
        <f>F17*E17</f>
        <v>200000000</v>
      </c>
      <c r="H17" s="137"/>
      <c r="I17" s="26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 x14ac:dyDescent="0.3">
      <c r="A18" s="79"/>
      <c r="B18" s="106">
        <v>2</v>
      </c>
      <c r="C18" s="23" t="s">
        <v>11</v>
      </c>
      <c r="D18" s="26" t="s">
        <v>107</v>
      </c>
      <c r="E18" s="20">
        <v>1</v>
      </c>
      <c r="F18" s="104">
        <v>5000000</v>
      </c>
      <c r="G18" s="137">
        <f>F18*E18</f>
        <v>5000000</v>
      </c>
      <c r="H18" s="137"/>
      <c r="I18" s="26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0" x14ac:dyDescent="0.3">
      <c r="A19" s="24"/>
      <c r="B19" s="208" t="s">
        <v>12</v>
      </c>
      <c r="C19" s="208"/>
      <c r="D19" s="107"/>
      <c r="E19" s="107"/>
      <c r="F19" s="138"/>
      <c r="G19" s="139">
        <f>SUM(G17:G18)</f>
        <v>205000000</v>
      </c>
      <c r="H19" s="139"/>
      <c r="I19" s="25"/>
      <c r="J19" s="24"/>
      <c r="K19" s="24"/>
      <c r="L19" s="24"/>
      <c r="M19" s="24"/>
      <c r="N19" s="24"/>
      <c r="O19" s="24"/>
      <c r="P19" s="24"/>
      <c r="Q19" s="24"/>
      <c r="R19" s="24"/>
      <c r="S19" s="79"/>
      <c r="T19" s="79"/>
    </row>
    <row r="20" spans="1:20" ht="21" x14ac:dyDescent="0.3">
      <c r="A20" s="24"/>
      <c r="B20" s="213" t="s">
        <v>13</v>
      </c>
      <c r="C20" s="213"/>
      <c r="D20" s="213"/>
      <c r="E20" s="213"/>
      <c r="F20" s="213"/>
      <c r="G20" s="213"/>
      <c r="H20" s="213"/>
      <c r="I20" s="213"/>
      <c r="J20" s="24"/>
      <c r="K20" s="24"/>
      <c r="L20" s="24"/>
      <c r="M20" s="24"/>
      <c r="N20" s="24"/>
      <c r="O20" s="24"/>
      <c r="P20" s="24"/>
      <c r="Q20" s="24"/>
      <c r="R20" s="24"/>
      <c r="S20" s="79"/>
      <c r="T20" s="79"/>
    </row>
    <row r="21" spans="1:20" ht="27.6" x14ac:dyDescent="0.3">
      <c r="A21" s="24"/>
      <c r="B21" s="18" t="s">
        <v>4</v>
      </c>
      <c r="C21" s="18" t="s">
        <v>5</v>
      </c>
      <c r="D21" s="18" t="s">
        <v>106</v>
      </c>
      <c r="E21" s="18" t="s">
        <v>6</v>
      </c>
      <c r="F21" s="94" t="s">
        <v>7</v>
      </c>
      <c r="G21" s="19" t="s">
        <v>0</v>
      </c>
      <c r="H21" s="19"/>
      <c r="I21" s="25"/>
      <c r="J21" s="24"/>
      <c r="K21" s="24"/>
      <c r="L21" s="24"/>
      <c r="M21" s="24"/>
      <c r="N21" s="24"/>
      <c r="O21" s="24"/>
      <c r="P21" s="24"/>
      <c r="Q21" s="24"/>
      <c r="R21" s="24"/>
      <c r="S21" s="79"/>
      <c r="T21" s="79"/>
    </row>
    <row r="22" spans="1:20" ht="18.75" customHeight="1" x14ac:dyDescent="0.3">
      <c r="A22" s="24"/>
      <c r="B22" s="107">
        <v>1</v>
      </c>
      <c r="C22" s="39" t="s">
        <v>115</v>
      </c>
      <c r="D22" s="26"/>
      <c r="E22" s="26"/>
      <c r="F22" s="120"/>
      <c r="G22" s="42"/>
      <c r="H22" s="42"/>
      <c r="I22" s="11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18.75" customHeight="1" x14ac:dyDescent="0.3">
      <c r="A23" s="24"/>
      <c r="B23" s="18"/>
      <c r="C23" s="111" t="s">
        <v>116</v>
      </c>
      <c r="D23" s="26" t="s">
        <v>5</v>
      </c>
      <c r="E23" s="26">
        <v>1</v>
      </c>
      <c r="F23" s="114">
        <v>1270000</v>
      </c>
      <c r="G23" s="42">
        <f>F23*E23</f>
        <v>1270000</v>
      </c>
      <c r="H23" s="42"/>
      <c r="I23" s="113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18.75" customHeight="1" x14ac:dyDescent="0.3">
      <c r="A24" s="24"/>
      <c r="B24" s="18"/>
      <c r="C24" s="111" t="s">
        <v>117</v>
      </c>
      <c r="D24" s="26" t="s">
        <v>5</v>
      </c>
      <c r="E24" s="26">
        <v>1</v>
      </c>
      <c r="F24" s="114">
        <v>1200000</v>
      </c>
      <c r="G24" s="42">
        <f t="shared" ref="G24:G30" si="1">F24*E24</f>
        <v>1200000</v>
      </c>
      <c r="H24" s="42"/>
      <c r="I24" s="113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18.75" customHeight="1" x14ac:dyDescent="0.3">
      <c r="A25" s="24"/>
      <c r="B25" s="18"/>
      <c r="C25" s="111" t="s">
        <v>118</v>
      </c>
      <c r="D25" s="26" t="s">
        <v>5</v>
      </c>
      <c r="E25" s="26">
        <v>1</v>
      </c>
      <c r="F25" s="114">
        <v>1080000</v>
      </c>
      <c r="G25" s="42">
        <f t="shared" si="1"/>
        <v>1080000</v>
      </c>
      <c r="H25" s="42"/>
      <c r="I25" s="113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18.75" customHeight="1" x14ac:dyDescent="0.3">
      <c r="A26" s="24"/>
      <c r="B26" s="18"/>
      <c r="C26" s="111" t="s">
        <v>119</v>
      </c>
      <c r="D26" s="26" t="s">
        <v>27</v>
      </c>
      <c r="E26" s="26">
        <v>1</v>
      </c>
      <c r="F26" s="114">
        <v>2000000</v>
      </c>
      <c r="G26" s="42">
        <f t="shared" si="1"/>
        <v>2000000</v>
      </c>
      <c r="H26" s="42"/>
      <c r="I26" s="113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18.75" customHeight="1" x14ac:dyDescent="0.3">
      <c r="A27" s="24"/>
      <c r="B27" s="18"/>
      <c r="C27" s="111" t="s">
        <v>120</v>
      </c>
      <c r="D27" s="26" t="s">
        <v>5</v>
      </c>
      <c r="E27" s="26">
        <v>1</v>
      </c>
      <c r="F27" s="114">
        <v>1067000</v>
      </c>
      <c r="G27" s="42">
        <f t="shared" si="1"/>
        <v>1067000</v>
      </c>
      <c r="H27" s="42"/>
      <c r="I27" s="113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ht="18.75" customHeight="1" x14ac:dyDescent="0.3">
      <c r="A28" s="24"/>
      <c r="B28" s="18"/>
      <c r="C28" s="111" t="s">
        <v>121</v>
      </c>
      <c r="D28" s="26" t="s">
        <v>5</v>
      </c>
      <c r="E28" s="26">
        <v>1</v>
      </c>
      <c r="F28" s="114">
        <v>450000</v>
      </c>
      <c r="G28" s="42">
        <f t="shared" si="1"/>
        <v>450000</v>
      </c>
      <c r="H28" s="42"/>
      <c r="I28" s="113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ht="18.75" customHeight="1" x14ac:dyDescent="0.3">
      <c r="A29" s="24"/>
      <c r="B29" s="18"/>
      <c r="C29" s="111" t="s">
        <v>122</v>
      </c>
      <c r="D29" s="26" t="s">
        <v>5</v>
      </c>
      <c r="E29" s="26">
        <v>1</v>
      </c>
      <c r="F29" s="114">
        <v>200000</v>
      </c>
      <c r="G29" s="42">
        <f t="shared" si="1"/>
        <v>200000</v>
      </c>
      <c r="H29" s="42"/>
      <c r="I29" s="113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18.75" customHeight="1" x14ac:dyDescent="0.3">
      <c r="A30" s="24"/>
      <c r="B30" s="18"/>
      <c r="C30" s="111" t="s">
        <v>123</v>
      </c>
      <c r="D30" s="26" t="s">
        <v>27</v>
      </c>
      <c r="E30" s="26">
        <v>1</v>
      </c>
      <c r="F30" s="114">
        <v>5000000</v>
      </c>
      <c r="G30" s="42">
        <f t="shared" si="1"/>
        <v>5000000</v>
      </c>
      <c r="H30" s="42"/>
      <c r="I30" s="11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x14ac:dyDescent="0.3">
      <c r="A31" s="24"/>
      <c r="B31" s="18">
        <v>2</v>
      </c>
      <c r="C31" s="27" t="s">
        <v>109</v>
      </c>
      <c r="D31" s="26" t="s">
        <v>107</v>
      </c>
      <c r="E31" s="26">
        <v>1</v>
      </c>
      <c r="F31" s="120">
        <v>5000000</v>
      </c>
      <c r="G31" s="42">
        <f t="shared" ref="G31:G32" si="2">F31*E31</f>
        <v>5000000</v>
      </c>
      <c r="H31" s="42"/>
      <c r="I31" s="115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x14ac:dyDescent="0.3">
      <c r="A32" s="24"/>
      <c r="B32" s="18">
        <v>3</v>
      </c>
      <c r="C32" s="27" t="s">
        <v>131</v>
      </c>
      <c r="D32" s="26" t="s">
        <v>108</v>
      </c>
      <c r="E32" s="26">
        <v>1</v>
      </c>
      <c r="F32" s="120">
        <v>8000000</v>
      </c>
      <c r="G32" s="42">
        <f t="shared" si="2"/>
        <v>8000000</v>
      </c>
      <c r="H32" s="42"/>
      <c r="I32" s="181" t="s">
        <v>160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 ht="18.75" customHeight="1" x14ac:dyDescent="0.3">
      <c r="A33" s="24"/>
      <c r="B33" s="209" t="s">
        <v>14</v>
      </c>
      <c r="C33" s="210"/>
      <c r="D33" s="210"/>
      <c r="E33" s="210"/>
      <c r="F33" s="210"/>
      <c r="G33" s="136">
        <f>SUM(G22:G32)</f>
        <v>25267000</v>
      </c>
      <c r="H33" s="136"/>
      <c r="I33" s="25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spans="1:20" x14ac:dyDescent="0.3">
      <c r="A34" s="24"/>
      <c r="B34" s="108"/>
      <c r="C34" s="79"/>
      <c r="D34" s="140"/>
      <c r="E34" s="140"/>
      <c r="F34" s="141"/>
      <c r="G34" s="81"/>
      <c r="H34" s="81"/>
      <c r="I34" s="28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 x14ac:dyDescent="0.3">
      <c r="A35" s="24"/>
      <c r="B35" s="108"/>
      <c r="C35" s="79"/>
      <c r="D35" s="140"/>
      <c r="E35" s="140"/>
      <c r="F35" s="141"/>
      <c r="G35" s="81"/>
      <c r="H35" s="81"/>
      <c r="I35" s="28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 x14ac:dyDescent="0.3">
      <c r="A36" s="24"/>
      <c r="B36" s="108"/>
      <c r="C36" s="79"/>
      <c r="D36" s="140"/>
      <c r="E36" s="140"/>
      <c r="F36" s="141"/>
      <c r="G36" s="81"/>
      <c r="H36" s="81"/>
      <c r="I36" s="28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 x14ac:dyDescent="0.3">
      <c r="A37" s="24"/>
      <c r="B37" s="108"/>
      <c r="C37" s="79"/>
      <c r="D37" s="140"/>
      <c r="E37" s="140"/>
      <c r="F37" s="141"/>
      <c r="G37" s="81"/>
      <c r="H37" s="81"/>
      <c r="I37" s="28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x14ac:dyDescent="0.3">
      <c r="A38" s="24"/>
      <c r="B38" s="108"/>
      <c r="C38" s="79"/>
      <c r="D38" s="140"/>
      <c r="E38" s="140"/>
      <c r="F38" s="141"/>
      <c r="G38" s="81"/>
      <c r="H38" s="81"/>
      <c r="I38" s="28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x14ac:dyDescent="0.3">
      <c r="A39" s="24"/>
      <c r="B39" s="108"/>
      <c r="C39" s="79"/>
      <c r="D39" s="140"/>
      <c r="E39" s="140"/>
      <c r="F39" s="141"/>
      <c r="G39" s="81"/>
      <c r="H39" s="81"/>
      <c r="I39" s="28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spans="1:20" x14ac:dyDescent="0.3">
      <c r="A40" s="24"/>
      <c r="B40" s="108"/>
      <c r="C40" s="79"/>
      <c r="D40" s="140"/>
      <c r="E40" s="140"/>
      <c r="F40" s="141"/>
      <c r="G40" s="81"/>
      <c r="H40" s="81"/>
      <c r="I40" s="28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spans="1:20" x14ac:dyDescent="0.3">
      <c r="A41" s="24"/>
      <c r="B41" s="108"/>
      <c r="C41" s="79"/>
      <c r="D41" s="140"/>
      <c r="E41" s="140"/>
      <c r="F41" s="141"/>
      <c r="G41" s="81"/>
      <c r="H41" s="81"/>
      <c r="I41" s="28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spans="1:20" x14ac:dyDescent="0.3">
      <c r="A42" s="24"/>
      <c r="B42" s="108"/>
      <c r="C42" s="79"/>
      <c r="D42" s="140"/>
      <c r="E42" s="140"/>
      <c r="F42" s="141"/>
      <c r="G42" s="81"/>
      <c r="H42" s="81"/>
      <c r="I42" s="28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spans="1:20" x14ac:dyDescent="0.3">
      <c r="A43" s="24"/>
      <c r="B43" s="108"/>
      <c r="C43" s="79"/>
      <c r="D43" s="140"/>
      <c r="E43" s="140"/>
      <c r="F43" s="141"/>
      <c r="G43" s="81"/>
      <c r="H43" s="81"/>
      <c r="I43" s="28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spans="1:20" x14ac:dyDescent="0.3">
      <c r="A44" s="24"/>
      <c r="B44" s="108"/>
      <c r="C44" s="79"/>
      <c r="D44" s="140"/>
      <c r="E44" s="140"/>
      <c r="F44" s="141"/>
      <c r="G44" s="81"/>
      <c r="H44" s="81"/>
      <c r="I44" s="28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1:20" x14ac:dyDescent="0.3">
      <c r="A45" s="24"/>
      <c r="B45" s="108"/>
      <c r="C45" s="79"/>
      <c r="D45" s="140"/>
      <c r="E45" s="140"/>
      <c r="F45" s="141"/>
      <c r="G45" s="81"/>
      <c r="H45" s="81"/>
      <c r="I45" s="28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spans="1:20" x14ac:dyDescent="0.3">
      <c r="A46" s="24"/>
      <c r="B46" s="108"/>
      <c r="C46" s="79"/>
      <c r="D46" s="140"/>
      <c r="E46" s="140"/>
      <c r="F46" s="141"/>
      <c r="G46" s="81"/>
      <c r="H46" s="81"/>
      <c r="I46" s="28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spans="1:20" x14ac:dyDescent="0.3">
      <c r="A47" s="24"/>
      <c r="B47" s="108"/>
      <c r="C47" s="79"/>
      <c r="D47" s="140"/>
      <c r="E47" s="140"/>
      <c r="F47" s="141"/>
      <c r="G47" s="81"/>
      <c r="H47" s="81"/>
      <c r="I47" s="28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spans="1:20" x14ac:dyDescent="0.3">
      <c r="A48" s="24"/>
      <c r="B48" s="108"/>
      <c r="C48" s="79"/>
      <c r="D48" s="140"/>
      <c r="E48" s="140"/>
      <c r="F48" s="141"/>
      <c r="G48" s="81"/>
      <c r="H48" s="81"/>
      <c r="I48" s="28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spans="1:20" x14ac:dyDescent="0.3">
      <c r="A49" s="24"/>
      <c r="B49" s="108"/>
      <c r="C49" s="79"/>
      <c r="D49" s="140"/>
      <c r="E49" s="140"/>
      <c r="F49" s="141"/>
      <c r="G49" s="81"/>
      <c r="H49" s="81"/>
      <c r="I49" s="28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1:20" x14ac:dyDescent="0.3">
      <c r="A50" s="24"/>
      <c r="B50" s="108"/>
      <c r="C50" s="79"/>
      <c r="D50" s="140"/>
      <c r="E50" s="140"/>
      <c r="F50" s="141"/>
      <c r="G50" s="81"/>
      <c r="H50" s="81"/>
      <c r="I50" s="28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spans="1:20" x14ac:dyDescent="0.3">
      <c r="A51" s="24"/>
      <c r="B51" s="108"/>
      <c r="C51" s="79"/>
      <c r="D51" s="140"/>
      <c r="E51" s="140"/>
      <c r="F51" s="141"/>
      <c r="G51" s="81"/>
      <c r="H51" s="81"/>
      <c r="I51" s="28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spans="1:20" x14ac:dyDescent="0.3">
      <c r="A52" s="24"/>
      <c r="B52" s="108"/>
      <c r="C52" s="79"/>
      <c r="D52" s="140"/>
      <c r="E52" s="140"/>
      <c r="F52" s="141"/>
      <c r="G52" s="81"/>
      <c r="H52" s="81"/>
      <c r="I52" s="28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spans="1:20" x14ac:dyDescent="0.3">
      <c r="A53" s="24"/>
      <c r="B53" s="108"/>
      <c r="C53" s="79"/>
      <c r="D53" s="140"/>
      <c r="E53" s="140"/>
      <c r="F53" s="141"/>
      <c r="G53" s="81"/>
      <c r="H53" s="81"/>
      <c r="I53" s="28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spans="1:20" x14ac:dyDescent="0.3">
      <c r="A54" s="24"/>
      <c r="B54" s="108"/>
      <c r="C54" s="79"/>
      <c r="D54" s="140"/>
      <c r="E54" s="140"/>
      <c r="F54" s="141"/>
      <c r="G54" s="81"/>
      <c r="H54" s="81"/>
      <c r="I54" s="28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spans="1:20" x14ac:dyDescent="0.3">
      <c r="A55" s="24"/>
      <c r="B55" s="108"/>
      <c r="C55" s="79"/>
      <c r="D55" s="140"/>
      <c r="E55" s="140"/>
      <c r="F55" s="141"/>
      <c r="G55" s="81"/>
      <c r="H55" s="81"/>
      <c r="I55" s="28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spans="1:20" x14ac:dyDescent="0.3">
      <c r="A56" s="24"/>
      <c r="B56" s="108"/>
      <c r="C56" s="79"/>
      <c r="D56" s="140"/>
      <c r="E56" s="140"/>
      <c r="F56" s="141"/>
      <c r="G56" s="81"/>
      <c r="H56" s="81"/>
      <c r="I56" s="28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spans="1:20" x14ac:dyDescent="0.3">
      <c r="A57" s="24"/>
      <c r="B57" s="108"/>
      <c r="C57" s="79"/>
      <c r="D57" s="140"/>
      <c r="E57" s="140"/>
      <c r="F57" s="141"/>
      <c r="G57" s="81"/>
      <c r="H57" s="81"/>
      <c r="I57" s="28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spans="1:20" x14ac:dyDescent="0.3">
      <c r="A58" s="24"/>
      <c r="B58" s="108"/>
      <c r="C58" s="79"/>
      <c r="D58" s="140"/>
      <c r="E58" s="140"/>
      <c r="F58" s="141"/>
      <c r="G58" s="81"/>
      <c r="H58" s="81"/>
      <c r="I58" s="28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spans="1:20" x14ac:dyDescent="0.3">
      <c r="A59" s="24"/>
      <c r="B59" s="108"/>
      <c r="C59" s="79"/>
      <c r="D59" s="140"/>
      <c r="E59" s="140"/>
      <c r="F59" s="141"/>
      <c r="G59" s="81"/>
      <c r="H59" s="81"/>
      <c r="I59" s="28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spans="1:20" x14ac:dyDescent="0.3">
      <c r="A60" s="24"/>
      <c r="B60" s="108"/>
      <c r="C60" s="79"/>
      <c r="D60" s="140"/>
      <c r="E60" s="140"/>
      <c r="F60" s="141"/>
      <c r="G60" s="81"/>
      <c r="H60" s="81"/>
      <c r="I60" s="28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spans="1:20" x14ac:dyDescent="0.3">
      <c r="A61" s="24"/>
      <c r="B61" s="108"/>
      <c r="C61" s="79"/>
      <c r="D61" s="140"/>
      <c r="E61" s="140"/>
      <c r="F61" s="141"/>
      <c r="G61" s="81"/>
      <c r="H61" s="81"/>
      <c r="I61" s="28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spans="1:20" x14ac:dyDescent="0.3">
      <c r="A62" s="24"/>
      <c r="B62" s="108"/>
      <c r="C62" s="79"/>
      <c r="D62" s="140"/>
      <c r="E62" s="140"/>
      <c r="F62" s="141"/>
      <c r="G62" s="81"/>
      <c r="H62" s="81"/>
      <c r="I62" s="28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spans="1:20" x14ac:dyDescent="0.3">
      <c r="A63" s="24"/>
      <c r="B63" s="108"/>
      <c r="C63" s="79"/>
      <c r="D63" s="140"/>
      <c r="E63" s="140"/>
      <c r="F63" s="141"/>
      <c r="G63" s="81"/>
      <c r="H63" s="81"/>
      <c r="I63" s="28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spans="1:20" x14ac:dyDescent="0.3">
      <c r="A64" s="24"/>
      <c r="B64" s="108"/>
      <c r="C64" s="79"/>
      <c r="D64" s="140"/>
      <c r="E64" s="140"/>
      <c r="F64" s="141"/>
      <c r="G64" s="81"/>
      <c r="H64" s="81"/>
      <c r="I64" s="28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spans="1:20" x14ac:dyDescent="0.3">
      <c r="A65" s="24"/>
      <c r="B65" s="108"/>
      <c r="C65" s="79"/>
      <c r="D65" s="140"/>
      <c r="E65" s="140"/>
      <c r="F65" s="141"/>
      <c r="G65" s="81"/>
      <c r="H65" s="81"/>
      <c r="I65" s="28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spans="1:20" x14ac:dyDescent="0.3">
      <c r="A66" s="24"/>
      <c r="B66" s="108"/>
      <c r="C66" s="79"/>
      <c r="D66" s="140"/>
      <c r="E66" s="140"/>
      <c r="F66" s="141"/>
      <c r="G66" s="81"/>
      <c r="H66" s="81"/>
      <c r="I66" s="28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spans="1:20" x14ac:dyDescent="0.3">
      <c r="A67" s="24"/>
      <c r="B67" s="108"/>
      <c r="C67" s="79"/>
      <c r="D67" s="140"/>
      <c r="E67" s="140"/>
      <c r="F67" s="141"/>
      <c r="G67" s="81"/>
      <c r="H67" s="81"/>
      <c r="I67" s="28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spans="1:20" x14ac:dyDescent="0.3">
      <c r="A68" s="24"/>
      <c r="B68" s="108"/>
      <c r="C68" s="79"/>
      <c r="D68" s="140"/>
      <c r="E68" s="140"/>
      <c r="F68" s="141"/>
      <c r="G68" s="81"/>
      <c r="H68" s="81"/>
      <c r="I68" s="28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spans="1:20" x14ac:dyDescent="0.3">
      <c r="A69" s="24"/>
      <c r="B69" s="108"/>
      <c r="C69" s="79"/>
      <c r="D69" s="140"/>
      <c r="E69" s="140"/>
      <c r="F69" s="141"/>
      <c r="G69" s="81"/>
      <c r="H69" s="81"/>
      <c r="I69" s="28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spans="1:20" x14ac:dyDescent="0.3">
      <c r="A70" s="24"/>
      <c r="B70" s="108"/>
      <c r="C70" s="79"/>
      <c r="D70" s="140"/>
      <c r="E70" s="140"/>
      <c r="F70" s="141"/>
      <c r="G70" s="81"/>
      <c r="H70" s="81"/>
      <c r="I70" s="28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 spans="1:20" x14ac:dyDescent="0.3">
      <c r="A71" s="24"/>
      <c r="B71" s="108"/>
      <c r="C71" s="79"/>
      <c r="D71" s="140"/>
      <c r="E71" s="140"/>
      <c r="F71" s="141"/>
      <c r="G71" s="81"/>
      <c r="H71" s="81"/>
      <c r="I71" s="28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spans="1:20" x14ac:dyDescent="0.3">
      <c r="A72" s="24"/>
      <c r="B72" s="108"/>
      <c r="C72" s="79"/>
      <c r="D72" s="140"/>
      <c r="E72" s="140"/>
      <c r="F72" s="141"/>
      <c r="G72" s="81"/>
      <c r="H72" s="81"/>
      <c r="I72" s="28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spans="1:20" x14ac:dyDescent="0.3">
      <c r="A73" s="24"/>
      <c r="B73" s="108"/>
      <c r="C73" s="79"/>
      <c r="D73" s="140"/>
      <c r="E73" s="140"/>
      <c r="F73" s="141"/>
      <c r="G73" s="81"/>
      <c r="H73" s="81"/>
      <c r="I73" s="28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spans="1:20" x14ac:dyDescent="0.3">
      <c r="A74" s="24"/>
      <c r="B74" s="108"/>
      <c r="C74" s="79"/>
      <c r="D74" s="140"/>
      <c r="E74" s="140"/>
      <c r="F74" s="141"/>
      <c r="G74" s="81"/>
      <c r="H74" s="81"/>
      <c r="I74" s="28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 spans="1:20" x14ac:dyDescent="0.3">
      <c r="A75" s="24"/>
      <c r="B75" s="108"/>
      <c r="C75" s="79"/>
      <c r="D75" s="140"/>
      <c r="E75" s="140"/>
      <c r="F75" s="141"/>
      <c r="G75" s="81"/>
      <c r="H75" s="81"/>
      <c r="I75" s="28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 spans="1:20" x14ac:dyDescent="0.3">
      <c r="A76" s="24"/>
      <c r="B76" s="108"/>
      <c r="C76" s="79"/>
      <c r="D76" s="140"/>
      <c r="E76" s="140"/>
      <c r="F76" s="141"/>
      <c r="G76" s="81"/>
      <c r="H76" s="81"/>
      <c r="I76" s="28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 spans="1:20" x14ac:dyDescent="0.3">
      <c r="A77" s="24"/>
      <c r="B77" s="108"/>
      <c r="C77" s="79"/>
      <c r="D77" s="140"/>
      <c r="E77" s="140"/>
      <c r="F77" s="141"/>
      <c r="G77" s="81"/>
      <c r="H77" s="81"/>
      <c r="I77" s="28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spans="1:20" x14ac:dyDescent="0.3">
      <c r="A78" s="24"/>
      <c r="B78" s="108"/>
      <c r="C78" s="79"/>
      <c r="D78" s="140"/>
      <c r="E78" s="140"/>
      <c r="F78" s="141"/>
      <c r="G78" s="81"/>
      <c r="H78" s="81"/>
      <c r="I78" s="28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 spans="1:20" x14ac:dyDescent="0.3">
      <c r="A79" s="24"/>
      <c r="B79" s="108"/>
      <c r="C79" s="79"/>
      <c r="D79" s="140"/>
      <c r="E79" s="140"/>
      <c r="F79" s="141"/>
      <c r="G79" s="81"/>
      <c r="H79" s="81"/>
      <c r="I79" s="28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 spans="1:20" x14ac:dyDescent="0.3">
      <c r="A80" s="24"/>
      <c r="B80" s="108"/>
      <c r="C80" s="79"/>
      <c r="D80" s="140"/>
      <c r="E80" s="140"/>
      <c r="F80" s="141"/>
      <c r="G80" s="81"/>
      <c r="H80" s="81"/>
      <c r="I80" s="28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spans="1:20" x14ac:dyDescent="0.3">
      <c r="A81" s="24"/>
      <c r="B81" s="108"/>
      <c r="C81" s="79"/>
      <c r="D81" s="140"/>
      <c r="E81" s="140"/>
      <c r="F81" s="141"/>
      <c r="G81" s="81"/>
      <c r="H81" s="81"/>
      <c r="I81" s="28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spans="1:20" x14ac:dyDescent="0.3">
      <c r="A82" s="24"/>
      <c r="B82" s="108"/>
      <c r="C82" s="79"/>
      <c r="D82" s="140"/>
      <c r="E82" s="140"/>
      <c r="F82" s="141"/>
      <c r="G82" s="81"/>
      <c r="H82" s="81"/>
      <c r="I82" s="28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spans="1:20" x14ac:dyDescent="0.3">
      <c r="A83" s="24"/>
      <c r="B83" s="108"/>
      <c r="C83" s="79"/>
      <c r="D83" s="140"/>
      <c r="E83" s="140"/>
      <c r="F83" s="141"/>
      <c r="G83" s="81"/>
      <c r="H83" s="81"/>
      <c r="I83" s="28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spans="1:20" x14ac:dyDescent="0.3">
      <c r="A84" s="24"/>
      <c r="B84" s="108"/>
      <c r="C84" s="79"/>
      <c r="D84" s="140"/>
      <c r="E84" s="140"/>
      <c r="F84" s="141"/>
      <c r="G84" s="81"/>
      <c r="H84" s="81"/>
      <c r="I84" s="28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spans="1:20" x14ac:dyDescent="0.3">
      <c r="A85" s="24"/>
      <c r="B85" s="108"/>
      <c r="C85" s="79"/>
      <c r="D85" s="140"/>
      <c r="E85" s="140"/>
      <c r="F85" s="141"/>
      <c r="G85" s="81"/>
      <c r="H85" s="81"/>
      <c r="I85" s="28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spans="1:20" x14ac:dyDescent="0.3">
      <c r="A86" s="24"/>
      <c r="B86" s="108"/>
      <c r="C86" s="79"/>
      <c r="D86" s="140"/>
      <c r="E86" s="140"/>
      <c r="F86" s="141"/>
      <c r="G86" s="81"/>
      <c r="H86" s="81"/>
      <c r="I86" s="28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spans="1:20" x14ac:dyDescent="0.3">
      <c r="A87" s="24"/>
      <c r="B87" s="108"/>
      <c r="C87" s="79"/>
      <c r="D87" s="140"/>
      <c r="E87" s="140"/>
      <c r="F87" s="141"/>
      <c r="G87" s="81"/>
      <c r="H87" s="81"/>
      <c r="I87" s="28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spans="1:20" x14ac:dyDescent="0.3">
      <c r="A88" s="24"/>
      <c r="B88" s="108"/>
      <c r="C88" s="79"/>
      <c r="D88" s="140"/>
      <c r="E88" s="140"/>
      <c r="F88" s="141"/>
      <c r="G88" s="81"/>
      <c r="H88" s="81"/>
      <c r="I88" s="28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spans="1:20" x14ac:dyDescent="0.3">
      <c r="A89" s="24"/>
      <c r="B89" s="108"/>
      <c r="C89" s="79"/>
      <c r="D89" s="140"/>
      <c r="E89" s="140"/>
      <c r="F89" s="141"/>
      <c r="G89" s="81"/>
      <c r="H89" s="81"/>
      <c r="I89" s="28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 spans="1:20" x14ac:dyDescent="0.3">
      <c r="A90" s="24"/>
      <c r="B90" s="108"/>
      <c r="C90" s="79"/>
      <c r="D90" s="140"/>
      <c r="E90" s="140"/>
      <c r="F90" s="141"/>
      <c r="G90" s="81"/>
      <c r="H90" s="81"/>
      <c r="I90" s="28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 spans="1:20" x14ac:dyDescent="0.3">
      <c r="A91" s="24"/>
      <c r="B91" s="108"/>
      <c r="C91" s="79"/>
      <c r="D91" s="140"/>
      <c r="E91" s="140"/>
      <c r="F91" s="141"/>
      <c r="G91" s="81"/>
      <c r="H91" s="81"/>
      <c r="I91" s="28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 spans="1:20" x14ac:dyDescent="0.3">
      <c r="A92" s="24"/>
      <c r="B92" s="108"/>
      <c r="C92" s="79"/>
      <c r="D92" s="140"/>
      <c r="E92" s="140"/>
      <c r="F92" s="141"/>
      <c r="G92" s="81"/>
      <c r="H92" s="81"/>
      <c r="I92" s="28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 spans="1:20" x14ac:dyDescent="0.3">
      <c r="A93" s="24"/>
      <c r="B93" s="108"/>
      <c r="C93" s="79"/>
      <c r="D93" s="140"/>
      <c r="E93" s="140"/>
      <c r="F93" s="141"/>
      <c r="G93" s="81"/>
      <c r="H93" s="81"/>
      <c r="I93" s="28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 spans="1:20" x14ac:dyDescent="0.3">
      <c r="A94" s="24"/>
      <c r="B94" s="108"/>
      <c r="C94" s="79"/>
      <c r="D94" s="140"/>
      <c r="E94" s="140"/>
      <c r="F94" s="141"/>
      <c r="G94" s="81"/>
      <c r="H94" s="81"/>
      <c r="I94" s="28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 spans="1:20" x14ac:dyDescent="0.3">
      <c r="A95" s="24"/>
      <c r="B95" s="108"/>
      <c r="C95" s="79"/>
      <c r="D95" s="140"/>
      <c r="E95" s="140"/>
      <c r="F95" s="141"/>
      <c r="G95" s="81"/>
      <c r="H95" s="81"/>
      <c r="I95" s="28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 spans="1:20" x14ac:dyDescent="0.3">
      <c r="A96" s="24"/>
      <c r="B96" s="108"/>
      <c r="C96" s="79"/>
      <c r="D96" s="140"/>
      <c r="E96" s="140"/>
      <c r="F96" s="141"/>
      <c r="G96" s="81"/>
      <c r="H96" s="81"/>
      <c r="I96" s="28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 spans="1:20" x14ac:dyDescent="0.3">
      <c r="A97" s="24"/>
      <c r="B97" s="108"/>
      <c r="C97" s="79"/>
      <c r="D97" s="140"/>
      <c r="E97" s="140"/>
      <c r="F97" s="141"/>
      <c r="G97" s="81"/>
      <c r="H97" s="81"/>
      <c r="I97" s="28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 spans="1:20" x14ac:dyDescent="0.3">
      <c r="A98" s="24"/>
      <c r="B98" s="108"/>
      <c r="C98" s="79"/>
      <c r="D98" s="140"/>
      <c r="E98" s="140"/>
      <c r="F98" s="141"/>
      <c r="G98" s="81"/>
      <c r="H98" s="81"/>
      <c r="I98" s="28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 spans="1:20" x14ac:dyDescent="0.3">
      <c r="A99" s="24"/>
      <c r="B99" s="108"/>
      <c r="C99" s="79"/>
      <c r="D99" s="140"/>
      <c r="E99" s="140"/>
      <c r="F99" s="141"/>
      <c r="G99" s="81"/>
      <c r="H99" s="81"/>
      <c r="I99" s="28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 spans="1:20" x14ac:dyDescent="0.3">
      <c r="A100" s="24"/>
      <c r="B100" s="108"/>
      <c r="C100" s="79"/>
      <c r="D100" s="140"/>
      <c r="E100" s="140"/>
      <c r="F100" s="141"/>
      <c r="G100" s="81"/>
      <c r="H100" s="81"/>
      <c r="I100" s="28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 spans="1:20" x14ac:dyDescent="0.3">
      <c r="A101" s="24"/>
      <c r="B101" s="108"/>
      <c r="C101" s="79"/>
      <c r="D101" s="140"/>
      <c r="E101" s="140"/>
      <c r="F101" s="141"/>
      <c r="G101" s="81"/>
      <c r="H101" s="81"/>
      <c r="I101" s="28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 spans="1:20" x14ac:dyDescent="0.3">
      <c r="A102" s="24"/>
      <c r="B102" s="108"/>
      <c r="C102" s="79"/>
      <c r="D102" s="140"/>
      <c r="E102" s="140"/>
      <c r="F102" s="141"/>
      <c r="G102" s="81"/>
      <c r="H102" s="81"/>
      <c r="I102" s="28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 spans="1:20" x14ac:dyDescent="0.3">
      <c r="A103" s="24"/>
      <c r="B103" s="108"/>
      <c r="C103" s="79"/>
      <c r="D103" s="140"/>
      <c r="E103" s="140"/>
      <c r="F103" s="141"/>
      <c r="G103" s="81"/>
      <c r="H103" s="81"/>
      <c r="I103" s="28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 spans="1:20" x14ac:dyDescent="0.3">
      <c r="A104" s="24"/>
      <c r="B104" s="108"/>
      <c r="C104" s="79"/>
      <c r="D104" s="140"/>
      <c r="E104" s="140"/>
      <c r="F104" s="141"/>
      <c r="G104" s="81"/>
      <c r="H104" s="81"/>
      <c r="I104" s="28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 spans="1:20" x14ac:dyDescent="0.3">
      <c r="A105" s="24"/>
      <c r="B105" s="108"/>
      <c r="C105" s="79"/>
      <c r="D105" s="140"/>
      <c r="E105" s="140"/>
      <c r="F105" s="141"/>
      <c r="G105" s="81"/>
      <c r="H105" s="81"/>
      <c r="I105" s="28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spans="1:20" x14ac:dyDescent="0.3">
      <c r="A106" s="24"/>
      <c r="B106" s="108"/>
      <c r="C106" s="79"/>
      <c r="D106" s="140"/>
      <c r="E106" s="140"/>
      <c r="F106" s="141"/>
      <c r="G106" s="81"/>
      <c r="H106" s="81"/>
      <c r="I106" s="28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 spans="1:20" x14ac:dyDescent="0.3">
      <c r="A107" s="24"/>
      <c r="B107" s="108"/>
      <c r="C107" s="79"/>
      <c r="D107" s="140"/>
      <c r="E107" s="140"/>
      <c r="F107" s="141"/>
      <c r="G107" s="81"/>
      <c r="H107" s="81"/>
      <c r="I107" s="28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 spans="1:20" x14ac:dyDescent="0.3">
      <c r="A108" s="24"/>
      <c r="B108" s="108"/>
      <c r="C108" s="79"/>
      <c r="D108" s="140"/>
      <c r="E108" s="140"/>
      <c r="F108" s="141"/>
      <c r="G108" s="81"/>
      <c r="H108" s="81"/>
      <c r="I108" s="28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 spans="1:20" x14ac:dyDescent="0.3">
      <c r="A109" s="24"/>
      <c r="B109" s="108"/>
      <c r="C109" s="79"/>
      <c r="D109" s="140"/>
      <c r="E109" s="140"/>
      <c r="F109" s="141"/>
      <c r="G109" s="81"/>
      <c r="H109" s="81"/>
      <c r="I109" s="28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 spans="1:20" x14ac:dyDescent="0.3">
      <c r="A110" s="24"/>
      <c r="B110" s="108"/>
      <c r="C110" s="79"/>
      <c r="D110" s="140"/>
      <c r="E110" s="140"/>
      <c r="F110" s="141"/>
      <c r="G110" s="81"/>
      <c r="H110" s="81"/>
      <c r="I110" s="28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spans="1:20" x14ac:dyDescent="0.3">
      <c r="A111" s="24"/>
      <c r="B111" s="108"/>
      <c r="C111" s="79"/>
      <c r="D111" s="140"/>
      <c r="E111" s="140"/>
      <c r="F111" s="141"/>
      <c r="G111" s="81"/>
      <c r="H111" s="81"/>
      <c r="I111" s="28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 spans="1:20" x14ac:dyDescent="0.3">
      <c r="A112" s="24"/>
      <c r="B112" s="108"/>
      <c r="C112" s="79"/>
      <c r="D112" s="140"/>
      <c r="E112" s="140"/>
      <c r="F112" s="141"/>
      <c r="G112" s="81"/>
      <c r="H112" s="81"/>
      <c r="I112" s="28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 spans="1:20" x14ac:dyDescent="0.3">
      <c r="A113" s="24"/>
      <c r="B113" s="108"/>
      <c r="C113" s="79"/>
      <c r="D113" s="140"/>
      <c r="E113" s="140"/>
      <c r="F113" s="141"/>
      <c r="G113" s="81"/>
      <c r="H113" s="81"/>
      <c r="I113" s="28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 spans="1:20" x14ac:dyDescent="0.3">
      <c r="A114" s="24"/>
      <c r="B114" s="108"/>
      <c r="C114" s="79"/>
      <c r="D114" s="140"/>
      <c r="E114" s="140"/>
      <c r="F114" s="141"/>
      <c r="G114" s="81"/>
      <c r="H114" s="81"/>
      <c r="I114" s="28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 spans="1:20" x14ac:dyDescent="0.3">
      <c r="A115" s="24"/>
      <c r="B115" s="108"/>
      <c r="C115" s="79"/>
      <c r="D115" s="140"/>
      <c r="E115" s="140"/>
      <c r="F115" s="141"/>
      <c r="G115" s="81"/>
      <c r="H115" s="81"/>
      <c r="I115" s="28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 spans="1:20" x14ac:dyDescent="0.3">
      <c r="A116" s="24"/>
      <c r="B116" s="108"/>
      <c r="C116" s="79"/>
      <c r="D116" s="140"/>
      <c r="E116" s="140"/>
      <c r="F116" s="141"/>
      <c r="G116" s="81"/>
      <c r="H116" s="81"/>
      <c r="I116" s="28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 spans="1:20" x14ac:dyDescent="0.3">
      <c r="A117" s="24"/>
      <c r="B117" s="108"/>
      <c r="C117" s="79"/>
      <c r="D117" s="140"/>
      <c r="E117" s="140"/>
      <c r="F117" s="141"/>
      <c r="G117" s="81"/>
      <c r="H117" s="81"/>
      <c r="I117" s="28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spans="1:20" x14ac:dyDescent="0.3">
      <c r="A118" s="24"/>
      <c r="B118" s="108"/>
      <c r="C118" s="79"/>
      <c r="D118" s="140"/>
      <c r="E118" s="140"/>
      <c r="F118" s="141"/>
      <c r="G118" s="81"/>
      <c r="H118" s="81"/>
      <c r="I118" s="28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 spans="1:20" x14ac:dyDescent="0.3">
      <c r="A119" s="24"/>
      <c r="B119" s="108"/>
      <c r="C119" s="79"/>
      <c r="D119" s="140"/>
      <c r="E119" s="140"/>
      <c r="F119" s="141"/>
      <c r="G119" s="81"/>
      <c r="H119" s="81"/>
      <c r="I119" s="28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 spans="1:20" x14ac:dyDescent="0.3">
      <c r="A120" s="24"/>
      <c r="B120" s="108"/>
      <c r="C120" s="79"/>
      <c r="D120" s="140"/>
      <c r="E120" s="140"/>
      <c r="F120" s="141"/>
      <c r="G120" s="81"/>
      <c r="H120" s="81"/>
      <c r="I120" s="28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 spans="1:20" x14ac:dyDescent="0.3">
      <c r="A121" s="24"/>
      <c r="B121" s="108"/>
      <c r="C121" s="79"/>
      <c r="D121" s="140"/>
      <c r="E121" s="140"/>
      <c r="F121" s="141"/>
      <c r="G121" s="81"/>
      <c r="H121" s="81"/>
      <c r="I121" s="28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 spans="1:20" x14ac:dyDescent="0.3">
      <c r="A122" s="24"/>
      <c r="B122" s="108"/>
      <c r="C122" s="79"/>
      <c r="D122" s="140"/>
      <c r="E122" s="140"/>
      <c r="F122" s="141"/>
      <c r="G122" s="81"/>
      <c r="H122" s="81"/>
      <c r="I122" s="28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 spans="1:20" x14ac:dyDescent="0.3">
      <c r="A123" s="24"/>
      <c r="B123" s="108"/>
      <c r="C123" s="79"/>
      <c r="D123" s="140"/>
      <c r="E123" s="140"/>
      <c r="F123" s="141"/>
      <c r="G123" s="81"/>
      <c r="H123" s="81"/>
      <c r="I123" s="28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 spans="1:20" x14ac:dyDescent="0.3">
      <c r="A124" s="24"/>
      <c r="B124" s="108"/>
      <c r="C124" s="79"/>
      <c r="D124" s="140"/>
      <c r="E124" s="140"/>
      <c r="F124" s="141"/>
      <c r="G124" s="81"/>
      <c r="H124" s="81"/>
      <c r="I124" s="28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 spans="1:20" x14ac:dyDescent="0.3">
      <c r="A125" s="24"/>
      <c r="B125" s="108"/>
      <c r="C125" s="79"/>
      <c r="D125" s="140"/>
      <c r="E125" s="140"/>
      <c r="F125" s="141"/>
      <c r="G125" s="81"/>
      <c r="H125" s="81"/>
      <c r="I125" s="28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 spans="1:20" x14ac:dyDescent="0.3">
      <c r="A126" s="24"/>
      <c r="B126" s="108"/>
      <c r="C126" s="79"/>
      <c r="D126" s="140"/>
      <c r="E126" s="140"/>
      <c r="F126" s="141"/>
      <c r="G126" s="81"/>
      <c r="H126" s="81"/>
      <c r="I126" s="28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 spans="1:20" x14ac:dyDescent="0.3">
      <c r="A127" s="24"/>
      <c r="B127" s="108"/>
      <c r="C127" s="79"/>
      <c r="D127" s="140"/>
      <c r="E127" s="140"/>
      <c r="F127" s="141"/>
      <c r="G127" s="81"/>
      <c r="H127" s="81"/>
      <c r="I127" s="28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 spans="1:20" x14ac:dyDescent="0.3">
      <c r="A128" s="24"/>
      <c r="B128" s="108"/>
      <c r="C128" s="79"/>
      <c r="D128" s="140"/>
      <c r="E128" s="140"/>
      <c r="F128" s="141"/>
      <c r="G128" s="81"/>
      <c r="H128" s="81"/>
      <c r="I128" s="28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 spans="1:20" x14ac:dyDescent="0.3">
      <c r="A129" s="24"/>
      <c r="B129" s="108"/>
      <c r="C129" s="79"/>
      <c r="D129" s="140"/>
      <c r="E129" s="140"/>
      <c r="F129" s="141"/>
      <c r="G129" s="81"/>
      <c r="H129" s="81"/>
      <c r="I129" s="28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 spans="1:20" x14ac:dyDescent="0.3">
      <c r="A130" s="24"/>
      <c r="B130" s="108"/>
      <c r="C130" s="79"/>
      <c r="D130" s="140"/>
      <c r="E130" s="140"/>
      <c r="F130" s="141"/>
      <c r="G130" s="81"/>
      <c r="H130" s="81"/>
      <c r="I130" s="28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 spans="1:20" x14ac:dyDescent="0.3">
      <c r="A131" s="24"/>
      <c r="B131" s="108"/>
      <c r="C131" s="79"/>
      <c r="D131" s="140"/>
      <c r="E131" s="140"/>
      <c r="F131" s="141"/>
      <c r="G131" s="81"/>
      <c r="H131" s="81"/>
      <c r="I131" s="28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 spans="1:20" x14ac:dyDescent="0.3">
      <c r="A132" s="24"/>
      <c r="B132" s="108"/>
      <c r="C132" s="79"/>
      <c r="D132" s="140"/>
      <c r="E132" s="140"/>
      <c r="F132" s="141"/>
      <c r="G132" s="81"/>
      <c r="H132" s="81"/>
      <c r="I132" s="28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 spans="1:20" x14ac:dyDescent="0.3">
      <c r="A133" s="24"/>
      <c r="B133" s="108"/>
      <c r="C133" s="79"/>
      <c r="D133" s="140"/>
      <c r="E133" s="140"/>
      <c r="F133" s="141"/>
      <c r="G133" s="81"/>
      <c r="H133" s="81"/>
      <c r="I133" s="28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 spans="1:20" x14ac:dyDescent="0.3">
      <c r="A134" s="24"/>
      <c r="B134" s="108"/>
      <c r="C134" s="79"/>
      <c r="D134" s="140"/>
      <c r="E134" s="140"/>
      <c r="F134" s="141"/>
      <c r="G134" s="81"/>
      <c r="H134" s="81"/>
      <c r="I134" s="28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 spans="1:20" x14ac:dyDescent="0.3">
      <c r="A135" s="24"/>
      <c r="B135" s="108"/>
      <c r="C135" s="79"/>
      <c r="D135" s="140"/>
      <c r="E135" s="140"/>
      <c r="F135" s="141"/>
      <c r="G135" s="81"/>
      <c r="H135" s="81"/>
      <c r="I135" s="28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 spans="1:20" x14ac:dyDescent="0.3">
      <c r="A136" s="24"/>
      <c r="B136" s="108"/>
      <c r="C136" s="79"/>
      <c r="D136" s="140"/>
      <c r="E136" s="140"/>
      <c r="F136" s="141"/>
      <c r="G136" s="81"/>
      <c r="H136" s="81"/>
      <c r="I136" s="28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 spans="1:20" x14ac:dyDescent="0.3">
      <c r="A137" s="24"/>
      <c r="B137" s="108"/>
      <c r="C137" s="79"/>
      <c r="D137" s="140"/>
      <c r="E137" s="140"/>
      <c r="F137" s="141"/>
      <c r="G137" s="81"/>
      <c r="H137" s="81"/>
      <c r="I137" s="28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 spans="1:20" x14ac:dyDescent="0.3">
      <c r="A138" s="24"/>
      <c r="B138" s="108"/>
      <c r="C138" s="79"/>
      <c r="D138" s="140"/>
      <c r="E138" s="140"/>
      <c r="F138" s="141"/>
      <c r="G138" s="81"/>
      <c r="H138" s="81"/>
      <c r="I138" s="28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 spans="1:20" x14ac:dyDescent="0.3">
      <c r="A139" s="24"/>
      <c r="B139" s="108"/>
      <c r="C139" s="79"/>
      <c r="D139" s="140"/>
      <c r="E139" s="140"/>
      <c r="F139" s="141"/>
      <c r="G139" s="81"/>
      <c r="H139" s="81"/>
      <c r="I139" s="28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 spans="1:20" x14ac:dyDescent="0.3">
      <c r="A140" s="24"/>
      <c r="B140" s="108"/>
      <c r="C140" s="79"/>
      <c r="D140" s="140"/>
      <c r="E140" s="140"/>
      <c r="F140" s="141"/>
      <c r="G140" s="81"/>
      <c r="H140" s="81"/>
      <c r="I140" s="28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 spans="1:20" x14ac:dyDescent="0.3">
      <c r="A141" s="24"/>
      <c r="B141" s="109"/>
      <c r="C141" s="24"/>
      <c r="D141" s="28"/>
      <c r="E141" s="28"/>
      <c r="F141" s="142"/>
      <c r="G141" s="86"/>
      <c r="H141" s="86"/>
      <c r="I141" s="28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 spans="1:20" x14ac:dyDescent="0.3">
      <c r="A142" s="24"/>
      <c r="B142" s="109"/>
      <c r="C142" s="24"/>
      <c r="D142" s="28"/>
      <c r="E142" s="28"/>
      <c r="F142" s="142"/>
      <c r="G142" s="86"/>
      <c r="H142" s="86"/>
      <c r="I142" s="28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 spans="1:20" x14ac:dyDescent="0.3">
      <c r="A143" s="24"/>
      <c r="B143" s="109"/>
      <c r="C143" s="24"/>
      <c r="D143" s="28"/>
      <c r="E143" s="28"/>
      <c r="F143" s="142"/>
      <c r="G143" s="86"/>
      <c r="H143" s="86"/>
      <c r="I143" s="28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 spans="1:20" x14ac:dyDescent="0.3">
      <c r="A144" s="24"/>
      <c r="B144" s="109"/>
      <c r="C144" s="24"/>
      <c r="D144" s="28"/>
      <c r="E144" s="28"/>
      <c r="F144" s="142"/>
      <c r="G144" s="86"/>
      <c r="H144" s="86"/>
      <c r="I144" s="28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 spans="1:20" x14ac:dyDescent="0.3">
      <c r="A145" s="24"/>
      <c r="B145" s="109"/>
      <c r="C145" s="24"/>
      <c r="D145" s="28"/>
      <c r="E145" s="28"/>
      <c r="F145" s="142"/>
      <c r="G145" s="86"/>
      <c r="H145" s="86"/>
      <c r="I145" s="28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 spans="1:20" x14ac:dyDescent="0.3">
      <c r="A146" s="24"/>
      <c r="B146" s="109"/>
      <c r="C146" s="24"/>
      <c r="D146" s="28"/>
      <c r="E146" s="28"/>
      <c r="F146" s="142"/>
      <c r="G146" s="86"/>
      <c r="H146" s="86"/>
      <c r="I146" s="28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 spans="1:20" x14ac:dyDescent="0.3">
      <c r="A147" s="24"/>
      <c r="B147" s="109"/>
      <c r="C147" s="24"/>
      <c r="D147" s="28"/>
      <c r="E147" s="28"/>
      <c r="F147" s="142"/>
      <c r="G147" s="86"/>
      <c r="H147" s="86"/>
      <c r="I147" s="28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 spans="1:20" x14ac:dyDescent="0.3">
      <c r="A148" s="24"/>
      <c r="B148" s="109"/>
      <c r="C148" s="24"/>
      <c r="D148" s="28"/>
      <c r="E148" s="28"/>
      <c r="F148" s="142"/>
      <c r="G148" s="86"/>
      <c r="H148" s="86"/>
      <c r="I148" s="28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 spans="1:20" x14ac:dyDescent="0.3">
      <c r="A149" s="24"/>
      <c r="B149" s="109"/>
      <c r="C149" s="24"/>
      <c r="D149" s="28"/>
      <c r="E149" s="28"/>
      <c r="F149" s="142"/>
      <c r="G149" s="86"/>
      <c r="H149" s="86"/>
      <c r="I149" s="28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 spans="1:20" x14ac:dyDescent="0.3">
      <c r="A150" s="24"/>
      <c r="B150" s="109"/>
      <c r="C150" s="24"/>
      <c r="D150" s="28"/>
      <c r="E150" s="28"/>
      <c r="F150" s="142"/>
      <c r="G150" s="86"/>
      <c r="H150" s="86"/>
      <c r="I150" s="28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 spans="1:20" x14ac:dyDescent="0.3">
      <c r="A151" s="24"/>
      <c r="B151" s="109"/>
      <c r="C151" s="24"/>
      <c r="D151" s="28"/>
      <c r="E151" s="28"/>
      <c r="F151" s="142"/>
      <c r="G151" s="86"/>
      <c r="H151" s="86"/>
      <c r="I151" s="28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 spans="1:20" x14ac:dyDescent="0.3">
      <c r="A152" s="24"/>
      <c r="B152" s="109"/>
      <c r="C152" s="24"/>
      <c r="D152" s="28"/>
      <c r="E152" s="28"/>
      <c r="F152" s="142"/>
      <c r="G152" s="86"/>
      <c r="H152" s="86"/>
      <c r="I152" s="28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 spans="1:20" x14ac:dyDescent="0.3">
      <c r="A153" s="24"/>
      <c r="B153" s="109"/>
      <c r="C153" s="24"/>
      <c r="D153" s="28"/>
      <c r="E153" s="28"/>
      <c r="F153" s="142"/>
      <c r="G153" s="86"/>
      <c r="H153" s="86"/>
      <c r="I153" s="28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 spans="1:20" x14ac:dyDescent="0.3">
      <c r="A154" s="24"/>
      <c r="B154" s="109"/>
      <c r="C154" s="24"/>
      <c r="D154" s="28"/>
      <c r="E154" s="28"/>
      <c r="F154" s="142"/>
      <c r="G154" s="86"/>
      <c r="H154" s="86"/>
      <c r="I154" s="28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 spans="1:20" x14ac:dyDescent="0.3">
      <c r="A155" s="24"/>
      <c r="B155" s="109"/>
      <c r="C155" s="24"/>
      <c r="D155" s="28"/>
      <c r="E155" s="28"/>
      <c r="F155" s="142"/>
      <c r="G155" s="86"/>
      <c r="H155" s="86"/>
      <c r="I155" s="28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 spans="1:20" x14ac:dyDescent="0.3">
      <c r="A156" s="24"/>
      <c r="B156" s="109"/>
      <c r="C156" s="24"/>
      <c r="D156" s="28"/>
      <c r="E156" s="28"/>
      <c r="F156" s="142"/>
      <c r="G156" s="86"/>
      <c r="H156" s="86"/>
      <c r="I156" s="28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 spans="1:20" x14ac:dyDescent="0.3">
      <c r="A157" s="24"/>
      <c r="B157" s="109"/>
      <c r="C157" s="24"/>
      <c r="D157" s="28"/>
      <c r="E157" s="28"/>
      <c r="F157" s="142"/>
      <c r="G157" s="86"/>
      <c r="H157" s="86"/>
      <c r="I157" s="28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 spans="1:20" x14ac:dyDescent="0.3">
      <c r="A158" s="24"/>
      <c r="B158" s="109"/>
      <c r="C158" s="24"/>
      <c r="D158" s="28"/>
      <c r="E158" s="28"/>
      <c r="F158" s="142"/>
      <c r="G158" s="86"/>
      <c r="H158" s="86"/>
      <c r="I158" s="28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 spans="1:20" x14ac:dyDescent="0.3">
      <c r="A159" s="24"/>
      <c r="B159" s="109"/>
      <c r="C159" s="24"/>
      <c r="D159" s="28"/>
      <c r="E159" s="28"/>
      <c r="F159" s="142"/>
      <c r="G159" s="86"/>
      <c r="H159" s="86"/>
      <c r="I159" s="28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 spans="1:20" x14ac:dyDescent="0.3">
      <c r="A160" s="24"/>
      <c r="B160" s="109"/>
      <c r="C160" s="24"/>
      <c r="D160" s="28"/>
      <c r="E160" s="28"/>
      <c r="F160" s="142"/>
      <c r="G160" s="86"/>
      <c r="H160" s="86"/>
      <c r="I160" s="28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 spans="1:20" x14ac:dyDescent="0.3">
      <c r="A161" s="24"/>
      <c r="B161" s="109"/>
      <c r="C161" s="24"/>
      <c r="D161" s="28"/>
      <c r="E161" s="28"/>
      <c r="F161" s="142"/>
      <c r="G161" s="86"/>
      <c r="H161" s="86"/>
      <c r="I161" s="28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 spans="1:20" x14ac:dyDescent="0.3">
      <c r="A162" s="24"/>
      <c r="B162" s="109"/>
      <c r="C162" s="24"/>
      <c r="D162" s="28"/>
      <c r="E162" s="28"/>
      <c r="F162" s="142"/>
      <c r="G162" s="86"/>
      <c r="H162" s="86"/>
      <c r="I162" s="28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 spans="1:20" x14ac:dyDescent="0.3">
      <c r="A163" s="24"/>
      <c r="B163" s="109"/>
      <c r="C163" s="24"/>
      <c r="D163" s="28"/>
      <c r="E163" s="28"/>
      <c r="F163" s="142"/>
      <c r="G163" s="86"/>
      <c r="H163" s="86"/>
      <c r="I163" s="28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 spans="1:20" x14ac:dyDescent="0.3">
      <c r="A164" s="24"/>
      <c r="B164" s="109"/>
      <c r="C164" s="24"/>
      <c r="D164" s="28"/>
      <c r="E164" s="28"/>
      <c r="F164" s="142"/>
      <c r="G164" s="86"/>
      <c r="H164" s="86"/>
      <c r="I164" s="28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 spans="1:20" x14ac:dyDescent="0.3">
      <c r="A165" s="24"/>
      <c r="B165" s="109"/>
      <c r="C165" s="24"/>
      <c r="D165" s="28"/>
      <c r="E165" s="28"/>
      <c r="F165" s="142"/>
      <c r="G165" s="86"/>
      <c r="H165" s="86"/>
      <c r="I165" s="28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 spans="1:20" x14ac:dyDescent="0.3">
      <c r="A166" s="24"/>
      <c r="B166" s="109"/>
      <c r="C166" s="24"/>
      <c r="D166" s="28"/>
      <c r="E166" s="28"/>
      <c r="F166" s="142"/>
      <c r="G166" s="86"/>
      <c r="H166" s="86"/>
      <c r="I166" s="28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 spans="1:20" x14ac:dyDescent="0.3">
      <c r="A167" s="24"/>
      <c r="B167" s="109"/>
      <c r="C167" s="24"/>
      <c r="D167" s="28"/>
      <c r="E167" s="28"/>
      <c r="F167" s="142"/>
      <c r="G167" s="86"/>
      <c r="H167" s="86"/>
      <c r="I167" s="28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 spans="1:20" x14ac:dyDescent="0.3">
      <c r="A168" s="24"/>
      <c r="B168" s="109"/>
      <c r="C168" s="24"/>
      <c r="D168" s="28"/>
      <c r="E168" s="28"/>
      <c r="F168" s="142"/>
      <c r="G168" s="86"/>
      <c r="H168" s="86"/>
      <c r="I168" s="28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 spans="1:20" x14ac:dyDescent="0.3">
      <c r="A169" s="24"/>
      <c r="B169" s="109"/>
      <c r="C169" s="24"/>
      <c r="D169" s="28"/>
      <c r="E169" s="28"/>
      <c r="F169" s="142"/>
      <c r="G169" s="86"/>
      <c r="H169" s="86"/>
      <c r="I169" s="28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 spans="1:20" x14ac:dyDescent="0.3">
      <c r="A170" s="24"/>
      <c r="B170" s="109"/>
      <c r="C170" s="24"/>
      <c r="D170" s="28"/>
      <c r="E170" s="28"/>
      <c r="F170" s="142"/>
      <c r="G170" s="86"/>
      <c r="H170" s="86"/>
      <c r="I170" s="28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 spans="1:20" x14ac:dyDescent="0.3">
      <c r="A171" s="24"/>
      <c r="B171" s="109"/>
      <c r="C171" s="24"/>
      <c r="D171" s="28"/>
      <c r="E171" s="28"/>
      <c r="F171" s="142"/>
      <c r="G171" s="86"/>
      <c r="H171" s="86"/>
      <c r="I171" s="28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 spans="1:20" x14ac:dyDescent="0.3">
      <c r="A172" s="24"/>
      <c r="B172" s="109"/>
      <c r="C172" s="24"/>
      <c r="D172" s="28"/>
      <c r="E172" s="28"/>
      <c r="F172" s="142"/>
      <c r="G172" s="86"/>
      <c r="H172" s="86"/>
      <c r="I172" s="28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 spans="1:20" x14ac:dyDescent="0.3">
      <c r="A173" s="24"/>
      <c r="B173" s="109"/>
      <c r="C173" s="24"/>
      <c r="D173" s="28"/>
      <c r="E173" s="28"/>
      <c r="F173" s="142"/>
      <c r="G173" s="86"/>
      <c r="H173" s="86"/>
      <c r="I173" s="28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 spans="1:20" x14ac:dyDescent="0.3">
      <c r="A174" s="24"/>
      <c r="B174" s="109"/>
      <c r="C174" s="24"/>
      <c r="D174" s="28"/>
      <c r="E174" s="28"/>
      <c r="F174" s="142"/>
      <c r="G174" s="86"/>
      <c r="H174" s="86"/>
      <c r="I174" s="28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 spans="1:20" x14ac:dyDescent="0.3">
      <c r="A175" s="24"/>
      <c r="B175" s="109"/>
      <c r="C175" s="24"/>
      <c r="D175" s="28"/>
      <c r="E175" s="28"/>
      <c r="F175" s="142"/>
      <c r="G175" s="86"/>
      <c r="H175" s="86"/>
      <c r="I175" s="28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 spans="1:20" x14ac:dyDescent="0.3">
      <c r="A176" s="24"/>
      <c r="B176" s="109"/>
      <c r="C176" s="24"/>
      <c r="D176" s="28"/>
      <c r="E176" s="28"/>
      <c r="F176" s="142"/>
      <c r="G176" s="86"/>
      <c r="H176" s="86"/>
      <c r="I176" s="28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 spans="1:20" x14ac:dyDescent="0.3">
      <c r="A177" s="24"/>
      <c r="B177" s="109"/>
      <c r="C177" s="24"/>
      <c r="D177" s="28"/>
      <c r="E177" s="28"/>
      <c r="F177" s="142"/>
      <c r="G177" s="86"/>
      <c r="H177" s="86"/>
      <c r="I177" s="28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 spans="1:20" x14ac:dyDescent="0.3">
      <c r="A178" s="24"/>
      <c r="B178" s="109"/>
      <c r="C178" s="24"/>
      <c r="D178" s="28"/>
      <c r="E178" s="28"/>
      <c r="F178" s="142"/>
      <c r="G178" s="86"/>
      <c r="H178" s="86"/>
      <c r="I178" s="28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 spans="1:20" x14ac:dyDescent="0.3">
      <c r="A179" s="24"/>
      <c r="B179" s="109"/>
      <c r="C179" s="24"/>
      <c r="D179" s="28"/>
      <c r="E179" s="28"/>
      <c r="F179" s="142"/>
      <c r="G179" s="86"/>
      <c r="H179" s="86"/>
      <c r="I179" s="28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 spans="1:20" x14ac:dyDescent="0.3">
      <c r="A180" s="24"/>
      <c r="B180" s="109"/>
      <c r="C180" s="24"/>
      <c r="D180" s="28"/>
      <c r="E180" s="28"/>
      <c r="F180" s="142"/>
      <c r="G180" s="86"/>
      <c r="H180" s="86"/>
      <c r="I180" s="28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 spans="1:20" x14ac:dyDescent="0.3">
      <c r="A181" s="24"/>
      <c r="B181" s="109"/>
      <c r="C181" s="24"/>
      <c r="D181" s="28"/>
      <c r="E181" s="28"/>
      <c r="F181" s="142"/>
      <c r="G181" s="86"/>
      <c r="H181" s="86"/>
      <c r="I181" s="28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 spans="1:20" x14ac:dyDescent="0.3">
      <c r="A182" s="24"/>
      <c r="B182" s="109"/>
      <c r="C182" s="24"/>
      <c r="D182" s="28"/>
      <c r="E182" s="28"/>
      <c r="F182" s="142"/>
      <c r="G182" s="86"/>
      <c r="H182" s="86"/>
      <c r="I182" s="28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 spans="1:20" x14ac:dyDescent="0.3">
      <c r="A183" s="24"/>
      <c r="B183" s="109"/>
      <c r="C183" s="24"/>
      <c r="D183" s="28"/>
      <c r="E183" s="28"/>
      <c r="F183" s="142"/>
      <c r="G183" s="86"/>
      <c r="H183" s="86"/>
      <c r="I183" s="28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 spans="1:20" x14ac:dyDescent="0.3">
      <c r="A184" s="24"/>
      <c r="B184" s="109"/>
      <c r="C184" s="24"/>
      <c r="D184" s="28"/>
      <c r="E184" s="28"/>
      <c r="F184" s="142"/>
      <c r="G184" s="86"/>
      <c r="H184" s="86"/>
      <c r="I184" s="28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 spans="1:20" x14ac:dyDescent="0.3">
      <c r="A185" s="24"/>
      <c r="B185" s="109"/>
      <c r="C185" s="24"/>
      <c r="D185" s="28"/>
      <c r="E185" s="28"/>
      <c r="F185" s="142"/>
      <c r="G185" s="86"/>
      <c r="H185" s="86"/>
      <c r="I185" s="28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 spans="1:20" x14ac:dyDescent="0.3">
      <c r="A186" s="24"/>
      <c r="B186" s="109"/>
      <c r="C186" s="24"/>
      <c r="D186" s="28"/>
      <c r="E186" s="28"/>
      <c r="F186" s="142"/>
      <c r="G186" s="86"/>
      <c r="H186" s="86"/>
      <c r="I186" s="28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 spans="1:20" x14ac:dyDescent="0.3">
      <c r="A187" s="24"/>
      <c r="B187" s="109"/>
      <c r="C187" s="24"/>
      <c r="D187" s="28"/>
      <c r="E187" s="28"/>
      <c r="F187" s="142"/>
      <c r="G187" s="86"/>
      <c r="H187" s="86"/>
      <c r="I187" s="28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 spans="1:20" x14ac:dyDescent="0.3">
      <c r="A188" s="24"/>
      <c r="B188" s="109"/>
      <c r="C188" s="24"/>
      <c r="D188" s="28"/>
      <c r="E188" s="28"/>
      <c r="F188" s="142"/>
      <c r="G188" s="86"/>
      <c r="H188" s="86"/>
      <c r="I188" s="28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 spans="1:20" x14ac:dyDescent="0.3">
      <c r="A189" s="24"/>
      <c r="B189" s="109"/>
      <c r="C189" s="24"/>
      <c r="D189" s="28"/>
      <c r="E189" s="28"/>
      <c r="F189" s="142"/>
      <c r="G189" s="86"/>
      <c r="H189" s="86"/>
      <c r="I189" s="28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 spans="1:20" x14ac:dyDescent="0.3">
      <c r="A190" s="24"/>
      <c r="B190" s="109"/>
      <c r="C190" s="24"/>
      <c r="D190" s="28"/>
      <c r="E190" s="28"/>
      <c r="F190" s="142"/>
      <c r="G190" s="86"/>
      <c r="H190" s="86"/>
      <c r="I190" s="28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 spans="1:20" x14ac:dyDescent="0.3">
      <c r="A191" s="24"/>
      <c r="B191" s="109"/>
      <c r="C191" s="24"/>
      <c r="D191" s="28"/>
      <c r="E191" s="28"/>
      <c r="F191" s="142"/>
      <c r="G191" s="86"/>
      <c r="H191" s="86"/>
      <c r="I191" s="28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 spans="1:20" x14ac:dyDescent="0.3">
      <c r="A192" s="24"/>
      <c r="B192" s="109"/>
      <c r="C192" s="24"/>
      <c r="D192" s="28"/>
      <c r="E192" s="28"/>
      <c r="F192" s="142"/>
      <c r="G192" s="86"/>
      <c r="H192" s="86"/>
      <c r="I192" s="28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  <row r="193" spans="1:20" x14ac:dyDescent="0.3">
      <c r="A193" s="24"/>
      <c r="B193" s="109"/>
      <c r="C193" s="24"/>
      <c r="D193" s="28"/>
      <c r="E193" s="28"/>
      <c r="F193" s="142"/>
      <c r="G193" s="86"/>
      <c r="H193" s="86"/>
      <c r="I193" s="28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</row>
    <row r="194" spans="1:20" x14ac:dyDescent="0.3">
      <c r="A194" s="24"/>
      <c r="B194" s="109"/>
      <c r="C194" s="24"/>
      <c r="D194" s="28"/>
      <c r="E194" s="28"/>
      <c r="F194" s="142"/>
      <c r="G194" s="86"/>
      <c r="H194" s="86"/>
      <c r="I194" s="28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</row>
    <row r="195" spans="1:20" x14ac:dyDescent="0.3">
      <c r="A195" s="24"/>
      <c r="B195" s="109"/>
      <c r="C195" s="24"/>
      <c r="D195" s="28"/>
      <c r="E195" s="28"/>
      <c r="F195" s="142"/>
      <c r="G195" s="86"/>
      <c r="H195" s="86"/>
      <c r="I195" s="28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</row>
    <row r="196" spans="1:20" x14ac:dyDescent="0.3">
      <c r="A196" s="24"/>
      <c r="B196" s="109"/>
      <c r="C196" s="24"/>
      <c r="D196" s="28"/>
      <c r="E196" s="28"/>
      <c r="F196" s="142"/>
      <c r="G196" s="86"/>
      <c r="H196" s="86"/>
      <c r="I196" s="28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</row>
    <row r="197" spans="1:20" x14ac:dyDescent="0.3">
      <c r="A197" s="24"/>
      <c r="B197" s="109"/>
      <c r="C197" s="24"/>
      <c r="D197" s="28"/>
      <c r="E197" s="28"/>
      <c r="F197" s="142"/>
      <c r="G197" s="86"/>
      <c r="H197" s="86"/>
      <c r="I197" s="28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</row>
    <row r="198" spans="1:20" x14ac:dyDescent="0.3">
      <c r="A198" s="24"/>
      <c r="B198" s="109"/>
      <c r="C198" s="24"/>
      <c r="D198" s="28"/>
      <c r="E198" s="28"/>
      <c r="F198" s="142"/>
      <c r="G198" s="86"/>
      <c r="H198" s="86"/>
      <c r="I198" s="28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</row>
    <row r="199" spans="1:20" x14ac:dyDescent="0.3">
      <c r="A199" s="24"/>
      <c r="B199" s="109"/>
      <c r="C199" s="24"/>
      <c r="D199" s="28"/>
      <c r="E199" s="28"/>
      <c r="F199" s="142"/>
      <c r="G199" s="86"/>
      <c r="H199" s="86"/>
      <c r="I199" s="28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</row>
    <row r="200" spans="1:20" x14ac:dyDescent="0.3">
      <c r="A200" s="24"/>
      <c r="B200" s="109"/>
      <c r="C200" s="24"/>
      <c r="D200" s="28"/>
      <c r="E200" s="28"/>
      <c r="F200" s="142"/>
      <c r="G200" s="86"/>
      <c r="H200" s="86"/>
      <c r="I200" s="28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 spans="1:20" x14ac:dyDescent="0.3">
      <c r="A201" s="24"/>
      <c r="B201" s="109"/>
      <c r="C201" s="24"/>
      <c r="D201" s="28"/>
      <c r="E201" s="28"/>
      <c r="F201" s="142"/>
      <c r="G201" s="86"/>
      <c r="H201" s="86"/>
      <c r="I201" s="28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2" spans="1:20" x14ac:dyDescent="0.3">
      <c r="A202" s="24"/>
      <c r="B202" s="109"/>
      <c r="C202" s="24"/>
      <c r="D202" s="28"/>
      <c r="E202" s="28"/>
      <c r="F202" s="142"/>
      <c r="G202" s="86"/>
      <c r="H202" s="86"/>
      <c r="I202" s="28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</row>
    <row r="203" spans="1:20" x14ac:dyDescent="0.3">
      <c r="A203" s="24"/>
      <c r="B203" s="109"/>
      <c r="C203" s="24"/>
      <c r="D203" s="28"/>
      <c r="E203" s="28"/>
      <c r="F203" s="142"/>
      <c r="G203" s="86"/>
      <c r="H203" s="86"/>
      <c r="I203" s="28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</row>
    <row r="204" spans="1:20" x14ac:dyDescent="0.3">
      <c r="A204" s="24"/>
      <c r="B204" s="109"/>
      <c r="C204" s="24"/>
      <c r="D204" s="28"/>
      <c r="E204" s="28"/>
      <c r="F204" s="142"/>
      <c r="G204" s="86"/>
      <c r="H204" s="86"/>
      <c r="I204" s="28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 spans="1:20" x14ac:dyDescent="0.3">
      <c r="A205" s="24"/>
      <c r="B205" s="109"/>
      <c r="C205" s="24"/>
      <c r="D205" s="28"/>
      <c r="E205" s="28"/>
      <c r="F205" s="142"/>
      <c r="G205" s="86"/>
      <c r="H205" s="86"/>
      <c r="I205" s="28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</row>
    <row r="206" spans="1:20" x14ac:dyDescent="0.3">
      <c r="A206" s="24"/>
      <c r="B206" s="109"/>
      <c r="C206" s="24"/>
      <c r="D206" s="28"/>
      <c r="E206" s="28"/>
      <c r="F206" s="142"/>
      <c r="G206" s="86"/>
      <c r="H206" s="86"/>
      <c r="I206" s="28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</row>
    <row r="207" spans="1:20" x14ac:dyDescent="0.3">
      <c r="A207" s="24"/>
      <c r="B207" s="109"/>
      <c r="C207" s="24"/>
      <c r="D207" s="28"/>
      <c r="E207" s="28"/>
      <c r="F207" s="142"/>
      <c r="G207" s="86"/>
      <c r="H207" s="86"/>
      <c r="I207" s="28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</row>
    <row r="208" spans="1:20" x14ac:dyDescent="0.3">
      <c r="A208" s="24"/>
      <c r="B208" s="109"/>
      <c r="C208" s="24"/>
      <c r="D208" s="28"/>
      <c r="E208" s="28"/>
      <c r="F208" s="142"/>
      <c r="G208" s="86"/>
      <c r="H208" s="86"/>
      <c r="I208" s="28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 spans="1:20" x14ac:dyDescent="0.3">
      <c r="A209" s="24"/>
      <c r="B209" s="109"/>
      <c r="C209" s="24"/>
      <c r="D209" s="28"/>
      <c r="E209" s="28"/>
      <c r="F209" s="142"/>
      <c r="G209" s="86"/>
      <c r="H209" s="86"/>
      <c r="I209" s="28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 spans="1:20" x14ac:dyDescent="0.3">
      <c r="A210" s="24"/>
      <c r="B210" s="109"/>
      <c r="C210" s="24"/>
      <c r="D210" s="28"/>
      <c r="E210" s="28"/>
      <c r="F210" s="142"/>
      <c r="G210" s="86"/>
      <c r="H210" s="86"/>
      <c r="I210" s="28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 spans="1:20" x14ac:dyDescent="0.3">
      <c r="A211" s="24"/>
      <c r="B211" s="109"/>
      <c r="C211" s="24"/>
      <c r="D211" s="28"/>
      <c r="E211" s="28"/>
      <c r="F211" s="142"/>
      <c r="G211" s="86"/>
      <c r="H211" s="86"/>
      <c r="I211" s="28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</row>
    <row r="212" spans="1:20" x14ac:dyDescent="0.3">
      <c r="A212" s="24"/>
      <c r="B212" s="109"/>
      <c r="C212" s="24"/>
      <c r="D212" s="28"/>
      <c r="E212" s="28"/>
      <c r="F212" s="142"/>
      <c r="G212" s="86"/>
      <c r="H212" s="86"/>
      <c r="I212" s="28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</row>
    <row r="213" spans="1:20" x14ac:dyDescent="0.3">
      <c r="A213" s="24"/>
      <c r="B213" s="109"/>
      <c r="C213" s="24"/>
      <c r="D213" s="28"/>
      <c r="E213" s="28"/>
      <c r="F213" s="142"/>
      <c r="G213" s="86"/>
      <c r="H213" s="86"/>
      <c r="I213" s="28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</row>
    <row r="214" spans="1:20" x14ac:dyDescent="0.3">
      <c r="A214" s="24"/>
      <c r="B214" s="109"/>
      <c r="C214" s="24"/>
      <c r="D214" s="28"/>
      <c r="E214" s="28"/>
      <c r="F214" s="142"/>
      <c r="G214" s="86"/>
      <c r="H214" s="86"/>
      <c r="I214" s="28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</row>
    <row r="215" spans="1:20" x14ac:dyDescent="0.3">
      <c r="A215" s="24"/>
      <c r="B215" s="109"/>
      <c r="C215" s="24"/>
      <c r="D215" s="28"/>
      <c r="E215" s="28"/>
      <c r="F215" s="142"/>
      <c r="G215" s="86"/>
      <c r="H215" s="86"/>
      <c r="I215" s="28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</row>
    <row r="216" spans="1:20" x14ac:dyDescent="0.3">
      <c r="A216" s="24"/>
      <c r="B216" s="109"/>
      <c r="C216" s="24"/>
      <c r="D216" s="28"/>
      <c r="E216" s="28"/>
      <c r="F216" s="142"/>
      <c r="G216" s="86"/>
      <c r="H216" s="86"/>
      <c r="I216" s="28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 spans="1:20" x14ac:dyDescent="0.3">
      <c r="A217" s="24"/>
      <c r="B217" s="109"/>
      <c r="C217" s="24"/>
      <c r="D217" s="28"/>
      <c r="E217" s="28"/>
      <c r="F217" s="142"/>
      <c r="G217" s="86"/>
      <c r="H217" s="86"/>
      <c r="I217" s="28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</row>
    <row r="218" spans="1:20" x14ac:dyDescent="0.3">
      <c r="A218" s="24"/>
      <c r="B218" s="109"/>
      <c r="C218" s="24"/>
      <c r="D218" s="28"/>
      <c r="E218" s="28"/>
      <c r="F218" s="142"/>
      <c r="G218" s="86"/>
      <c r="H218" s="86"/>
      <c r="I218" s="28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 spans="1:20" x14ac:dyDescent="0.3">
      <c r="A219" s="24"/>
      <c r="B219" s="109"/>
      <c r="C219" s="24"/>
      <c r="D219" s="28"/>
      <c r="E219" s="28"/>
      <c r="F219" s="142"/>
      <c r="G219" s="86"/>
      <c r="H219" s="86"/>
      <c r="I219" s="28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</row>
    <row r="220" spans="1:20" x14ac:dyDescent="0.3">
      <c r="A220" s="24"/>
      <c r="B220" s="109"/>
      <c r="C220" s="24"/>
      <c r="D220" s="28"/>
      <c r="E220" s="28"/>
      <c r="F220" s="142"/>
      <c r="G220" s="86"/>
      <c r="H220" s="86"/>
      <c r="I220" s="28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</row>
    <row r="221" spans="1:20" x14ac:dyDescent="0.3">
      <c r="A221" s="24"/>
      <c r="B221" s="109"/>
      <c r="C221" s="24"/>
      <c r="D221" s="28"/>
      <c r="E221" s="28"/>
      <c r="F221" s="142"/>
      <c r="G221" s="86"/>
      <c r="H221" s="86"/>
      <c r="I221" s="28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</row>
    <row r="222" spans="1:20" x14ac:dyDescent="0.3">
      <c r="A222" s="24"/>
      <c r="B222" s="109"/>
      <c r="C222" s="24"/>
      <c r="D222" s="28"/>
      <c r="E222" s="28"/>
      <c r="F222" s="142"/>
      <c r="G222" s="86"/>
      <c r="H222" s="86"/>
      <c r="I222" s="28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</row>
    <row r="223" spans="1:20" x14ac:dyDescent="0.3">
      <c r="A223" s="24"/>
      <c r="B223" s="109"/>
      <c r="C223" s="24"/>
      <c r="D223" s="28"/>
      <c r="E223" s="28"/>
      <c r="F223" s="142"/>
      <c r="G223" s="86"/>
      <c r="H223" s="86"/>
      <c r="I223" s="28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</row>
    <row r="224" spans="1:20" x14ac:dyDescent="0.3">
      <c r="A224" s="24"/>
      <c r="B224" s="109"/>
      <c r="C224" s="24"/>
      <c r="D224" s="28"/>
      <c r="E224" s="28"/>
      <c r="F224" s="142"/>
      <c r="G224" s="86"/>
      <c r="H224" s="86"/>
      <c r="I224" s="28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</row>
    <row r="225" spans="1:20" x14ac:dyDescent="0.3">
      <c r="A225" s="24"/>
      <c r="B225" s="109"/>
      <c r="C225" s="24"/>
      <c r="D225" s="28"/>
      <c r="E225" s="28"/>
      <c r="F225" s="142"/>
      <c r="G225" s="86"/>
      <c r="H225" s="86"/>
      <c r="I225" s="28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</row>
    <row r="226" spans="1:20" x14ac:dyDescent="0.3">
      <c r="A226" s="24"/>
      <c r="B226" s="109"/>
      <c r="C226" s="24"/>
      <c r="D226" s="28"/>
      <c r="E226" s="28"/>
      <c r="F226" s="142"/>
      <c r="G226" s="86"/>
      <c r="H226" s="86"/>
      <c r="I226" s="28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</row>
    <row r="227" spans="1:20" x14ac:dyDescent="0.3">
      <c r="A227" s="24"/>
      <c r="B227" s="109"/>
      <c r="C227" s="24"/>
      <c r="D227" s="28"/>
      <c r="E227" s="28"/>
      <c r="F227" s="142"/>
      <c r="G227" s="86"/>
      <c r="H227" s="86"/>
      <c r="I227" s="28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</row>
    <row r="228" spans="1:20" x14ac:dyDescent="0.3">
      <c r="A228" s="24"/>
      <c r="B228" s="109"/>
      <c r="C228" s="24"/>
      <c r="D228" s="28"/>
      <c r="E228" s="28"/>
      <c r="F228" s="142"/>
      <c r="G228" s="86"/>
      <c r="H228" s="86"/>
      <c r="I228" s="28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</row>
    <row r="229" spans="1:20" x14ac:dyDescent="0.3">
      <c r="A229" s="24"/>
      <c r="B229" s="109"/>
      <c r="C229" s="24"/>
      <c r="D229" s="28"/>
      <c r="E229" s="28"/>
      <c r="F229" s="142"/>
      <c r="G229" s="86"/>
      <c r="H229" s="86"/>
      <c r="I229" s="28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</row>
    <row r="230" spans="1:20" x14ac:dyDescent="0.3">
      <c r="A230" s="24"/>
      <c r="B230" s="109"/>
      <c r="C230" s="24"/>
      <c r="D230" s="28"/>
      <c r="E230" s="28"/>
      <c r="F230" s="142"/>
      <c r="G230" s="86"/>
      <c r="H230" s="86"/>
      <c r="I230" s="28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</row>
    <row r="231" spans="1:20" x14ac:dyDescent="0.3">
      <c r="A231" s="24"/>
      <c r="B231" s="109"/>
      <c r="C231" s="24"/>
      <c r="D231" s="28"/>
      <c r="E231" s="28"/>
      <c r="F231" s="142"/>
      <c r="G231" s="86"/>
      <c r="H231" s="86"/>
      <c r="I231" s="28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</row>
    <row r="232" spans="1:20" x14ac:dyDescent="0.3">
      <c r="A232" s="24"/>
      <c r="B232" s="109"/>
      <c r="C232" s="24"/>
      <c r="D232" s="28"/>
      <c r="E232" s="28"/>
      <c r="F232" s="142"/>
      <c r="G232" s="86"/>
      <c r="H232" s="86"/>
      <c r="I232" s="28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</row>
    <row r="233" spans="1:20" x14ac:dyDescent="0.3">
      <c r="A233" s="24"/>
      <c r="B233" s="109"/>
      <c r="C233" s="24"/>
      <c r="D233" s="28"/>
      <c r="E233" s="28"/>
      <c r="F233" s="142"/>
      <c r="G233" s="86"/>
      <c r="H233" s="86"/>
      <c r="I233" s="28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</row>
    <row r="234" spans="1:20" x14ac:dyDescent="0.3">
      <c r="A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</row>
    <row r="235" spans="1:20" x14ac:dyDescent="0.3">
      <c r="A235" s="24"/>
    </row>
  </sheetData>
  <mergeCells count="8">
    <mergeCell ref="B19:C19"/>
    <mergeCell ref="B33:F33"/>
    <mergeCell ref="M2:N2"/>
    <mergeCell ref="B2:I2"/>
    <mergeCell ref="B3:I3"/>
    <mergeCell ref="B14:F14"/>
    <mergeCell ref="B15:I15"/>
    <mergeCell ref="B20:I20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Z987"/>
  <sheetViews>
    <sheetView zoomScale="85" workbookViewId="0">
      <selection activeCell="E19" sqref="E19"/>
    </sheetView>
  </sheetViews>
  <sheetFormatPr defaultColWidth="10.08203125" defaultRowHeight="15" customHeight="1" x14ac:dyDescent="0.35"/>
  <cols>
    <col min="1" max="1" width="10.08203125" style="13"/>
    <col min="2" max="2" width="3.08203125" style="13" customWidth="1"/>
    <col min="3" max="3" width="33.5" style="13" customWidth="1"/>
    <col min="4" max="4" width="12.33203125" style="13" customWidth="1"/>
    <col min="5" max="5" width="10.83203125" style="13" customWidth="1"/>
    <col min="6" max="6" width="9.83203125" style="13" customWidth="1"/>
    <col min="7" max="10" width="12.6640625" style="13" customWidth="1"/>
    <col min="11" max="26" width="4.33203125" style="13" customWidth="1"/>
    <col min="27" max="16384" width="10.08203125" style="13"/>
  </cols>
  <sheetData>
    <row r="2" spans="2:26" ht="29.25" customHeight="1" x14ac:dyDescent="0.35">
      <c r="B2" s="216" t="s">
        <v>101</v>
      </c>
      <c r="C2" s="216"/>
      <c r="D2" s="216"/>
      <c r="E2" s="216"/>
      <c r="F2" s="216"/>
      <c r="G2" s="216"/>
      <c r="H2" s="216"/>
      <c r="I2" s="216"/>
      <c r="J2" s="216"/>
      <c r="K2" s="40"/>
      <c r="L2" s="41"/>
      <c r="M2" s="41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2:26" ht="29.25" customHeight="1" x14ac:dyDescent="0.35">
      <c r="B3" s="209" t="s">
        <v>4</v>
      </c>
      <c r="C3" s="209" t="s">
        <v>16</v>
      </c>
      <c r="D3" s="215" t="s">
        <v>17</v>
      </c>
      <c r="E3" s="209" t="s">
        <v>99</v>
      </c>
      <c r="F3" s="215" t="s">
        <v>18</v>
      </c>
      <c r="G3" s="215" t="s">
        <v>103</v>
      </c>
      <c r="H3" s="215"/>
      <c r="I3" s="215"/>
      <c r="J3" s="215"/>
      <c r="K3" s="40"/>
      <c r="L3" s="41"/>
      <c r="M3" s="41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2:26" ht="27.75" customHeight="1" x14ac:dyDescent="0.35">
      <c r="B4" s="209"/>
      <c r="C4" s="209"/>
      <c r="D4" s="215"/>
      <c r="E4" s="209"/>
      <c r="F4" s="215"/>
      <c r="G4" s="152" t="s">
        <v>23</v>
      </c>
      <c r="H4" s="152" t="s">
        <v>29</v>
      </c>
      <c r="I4" s="152" t="s">
        <v>30</v>
      </c>
      <c r="J4" s="152" t="s">
        <v>31</v>
      </c>
      <c r="K4" s="40"/>
      <c r="L4" s="41"/>
      <c r="M4" s="41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2:26" ht="19.5" customHeight="1" x14ac:dyDescent="0.35">
      <c r="B5" s="129">
        <v>1</v>
      </c>
      <c r="C5" s="130" t="str">
        <f>'Start-Up Investment'!C5</f>
        <v>CÔNG NGHỆ VÀ MÁY MÓC</v>
      </c>
      <c r="D5" s="42"/>
      <c r="E5" s="25"/>
      <c r="F5" s="43">
        <v>0</v>
      </c>
      <c r="G5" s="44"/>
      <c r="H5" s="45"/>
      <c r="I5" s="45"/>
      <c r="J5" s="45"/>
      <c r="K5" s="40"/>
      <c r="L5" s="41"/>
      <c r="M5" s="41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2:26" ht="19.5" customHeight="1" x14ac:dyDescent="0.35">
      <c r="B6" s="26"/>
      <c r="C6" s="111" t="str">
        <f>'Start-Up Investment'!C6</f>
        <v>Website E-commerce</v>
      </c>
      <c r="D6" s="42">
        <f>'Start-Up Investment'!G6</f>
        <v>20000000</v>
      </c>
      <c r="E6" s="25">
        <v>3</v>
      </c>
      <c r="F6" s="43">
        <v>0</v>
      </c>
      <c r="G6" s="44">
        <f>D6/E6</f>
        <v>6666666.666666667</v>
      </c>
      <c r="H6" s="45">
        <f>G6</f>
        <v>6666666.666666667</v>
      </c>
      <c r="I6" s="45">
        <f>H6</f>
        <v>6666666.666666667</v>
      </c>
      <c r="J6" s="45"/>
      <c r="K6" s="40"/>
      <c r="L6" s="41"/>
      <c r="M6" s="41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2:26" ht="19.5" customHeight="1" x14ac:dyDescent="0.35">
      <c r="B7" s="26"/>
      <c r="C7" s="111" t="str">
        <f>'Start-Up Investment'!C7</f>
        <v>Máy in đơn hàng</v>
      </c>
      <c r="D7" s="42">
        <f>'Start-Up Investment'!G7</f>
        <v>2000000</v>
      </c>
      <c r="E7" s="25">
        <v>1</v>
      </c>
      <c r="F7" s="43">
        <v>0</v>
      </c>
      <c r="G7" s="44">
        <f>D7/E7</f>
        <v>2000000</v>
      </c>
      <c r="H7" s="45"/>
      <c r="I7" s="45"/>
      <c r="J7" s="45"/>
      <c r="K7" s="40"/>
      <c r="L7" s="41"/>
      <c r="M7" s="41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2:26" ht="19.5" customHeight="1" x14ac:dyDescent="0.35">
      <c r="B8" s="129">
        <v>2</v>
      </c>
      <c r="C8" s="130" t="str">
        <f>'Start-Up Investment'!C8</f>
        <v>STUDIO</v>
      </c>
      <c r="D8" s="42">
        <f>'Start-Up Investment'!G8</f>
        <v>0</v>
      </c>
      <c r="E8" s="25"/>
      <c r="F8" s="43">
        <v>0</v>
      </c>
      <c r="G8" s="44"/>
      <c r="H8" s="45">
        <f t="shared" ref="H8" si="0">IF(E8&gt;1,G8,0)</f>
        <v>0</v>
      </c>
      <c r="I8" s="45">
        <f t="shared" ref="I8" si="1">IF(E8&gt;2,H8,0)</f>
        <v>0</v>
      </c>
      <c r="J8" s="45">
        <f t="shared" ref="J8:J10" si="2">IF(E8&gt;3,I8,0)</f>
        <v>0</v>
      </c>
      <c r="K8" s="40"/>
      <c r="L8" s="41"/>
      <c r="M8" s="41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2:26" ht="19.5" customHeight="1" x14ac:dyDescent="0.35">
      <c r="B9" s="26"/>
      <c r="C9" s="111" t="str">
        <f>'Start-Up Investment'!C9</f>
        <v>Máy ảnh</v>
      </c>
      <c r="D9" s="42">
        <f>'Start-Up Investment'!G9</f>
        <v>20000000</v>
      </c>
      <c r="E9" s="25">
        <v>3</v>
      </c>
      <c r="F9" s="43">
        <v>0</v>
      </c>
      <c r="G9" s="44">
        <f>D9/E9</f>
        <v>6666666.666666667</v>
      </c>
      <c r="H9" s="45">
        <f>G9</f>
        <v>6666666.666666667</v>
      </c>
      <c r="I9" s="45">
        <f>H9</f>
        <v>6666666.666666667</v>
      </c>
      <c r="J9" s="45"/>
      <c r="K9" s="40"/>
      <c r="L9" s="41"/>
      <c r="M9" s="41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2:26" ht="19.5" customHeight="1" x14ac:dyDescent="0.35">
      <c r="B10" s="26"/>
      <c r="C10" s="111" t="str">
        <f>'Start-Up Investment'!C10</f>
        <v>Đèn Studio (Softbox)</v>
      </c>
      <c r="D10" s="42">
        <f>'Start-Up Investment'!G10</f>
        <v>6000000</v>
      </c>
      <c r="E10" s="25">
        <v>2</v>
      </c>
      <c r="F10" s="43">
        <v>0</v>
      </c>
      <c r="G10" s="44">
        <f>D10/E10</f>
        <v>3000000</v>
      </c>
      <c r="H10" s="45">
        <f>G10</f>
        <v>3000000</v>
      </c>
      <c r="I10" s="45"/>
      <c r="J10" s="45">
        <f t="shared" si="2"/>
        <v>0</v>
      </c>
      <c r="K10" s="40"/>
      <c r="L10" s="41"/>
      <c r="M10" s="41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2:26" ht="19.5" customHeight="1" x14ac:dyDescent="0.35">
      <c r="B11" s="26"/>
      <c r="C11" s="111" t="str">
        <f>'Start-Up Investment'!C11</f>
        <v>Phông nền (Background)</v>
      </c>
      <c r="D11" s="42">
        <f>'Start-Up Investment'!G11</f>
        <v>5000000</v>
      </c>
      <c r="E11" s="25">
        <v>2</v>
      </c>
      <c r="F11" s="43">
        <v>0</v>
      </c>
      <c r="G11" s="44">
        <f>D11/E11/2</f>
        <v>1250000</v>
      </c>
      <c r="H11" s="45">
        <f>G11*2</f>
        <v>2500000</v>
      </c>
      <c r="I11" s="45">
        <f>G11</f>
        <v>1250000</v>
      </c>
      <c r="J11" s="45">
        <f t="shared" ref="J11" si="3">IF(E11&gt;3,I11,0)</f>
        <v>0</v>
      </c>
      <c r="K11" s="40"/>
      <c r="L11" s="41"/>
      <c r="M11" s="41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2:26" ht="19.5" customHeight="1" x14ac:dyDescent="0.35">
      <c r="B12" s="129">
        <v>3</v>
      </c>
      <c r="C12" s="131" t="str">
        <f>'Start-Up Investment'!C12</f>
        <v>CHI PHÍ KHÁC</v>
      </c>
      <c r="D12" s="42">
        <f>'Start-Up Investment'!G12</f>
        <v>0</v>
      </c>
      <c r="E12" s="25"/>
      <c r="F12" s="43">
        <v>0</v>
      </c>
      <c r="G12" s="44"/>
      <c r="H12" s="45">
        <f t="shared" ref="H12" si="4">IF(E12&gt;1,G12,0)</f>
        <v>0</v>
      </c>
      <c r="I12" s="45">
        <f t="shared" ref="I12" si="5">IF(E12&gt;2,H12,0)</f>
        <v>0</v>
      </c>
      <c r="J12" s="45">
        <f t="shared" ref="J12" si="6">IF(E12&gt;3,I12,0)</f>
        <v>0</v>
      </c>
      <c r="K12" s="40"/>
      <c r="L12" s="41"/>
      <c r="M12" s="41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2:26" ht="19.5" customHeight="1" x14ac:dyDescent="0.35">
      <c r="B13" s="26"/>
      <c r="C13" s="111" t="str">
        <f>'Start-Up Investment'!C13</f>
        <v>Tài sản khác</v>
      </c>
      <c r="D13" s="42">
        <f>'Start-Up Investment'!G13</f>
        <v>10000000</v>
      </c>
      <c r="E13" s="25">
        <v>2</v>
      </c>
      <c r="F13" s="43">
        <v>0</v>
      </c>
      <c r="G13" s="44">
        <f>D13/E13</f>
        <v>5000000</v>
      </c>
      <c r="H13" s="45">
        <f>G13</f>
        <v>5000000</v>
      </c>
      <c r="I13" s="45"/>
      <c r="J13" s="45"/>
      <c r="K13" s="40"/>
      <c r="L13" s="41"/>
      <c r="M13" s="41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2:26" ht="18.75" customHeight="1" x14ac:dyDescent="0.35">
      <c r="B14" s="209" t="s">
        <v>102</v>
      </c>
      <c r="C14" s="217"/>
      <c r="D14" s="217"/>
      <c r="E14" s="217"/>
      <c r="F14" s="19">
        <f>SUM(F5:F13)</f>
        <v>0</v>
      </c>
      <c r="G14" s="19">
        <f>SUM(G5:G13)</f>
        <v>24583333.333333336</v>
      </c>
      <c r="H14" s="19">
        <f>SUM(H5:H13)</f>
        <v>23833333.333333336</v>
      </c>
      <c r="I14" s="19">
        <f>SUM(I5:I13)</f>
        <v>14583333.333333334</v>
      </c>
      <c r="J14" s="19">
        <f>SUM(J5:J13)</f>
        <v>0</v>
      </c>
      <c r="K14" s="40"/>
      <c r="L14" s="41"/>
      <c r="M14" s="41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2:26" ht="18.75" customHeight="1" x14ac:dyDescent="0.35">
      <c r="B15" s="46"/>
      <c r="C15" s="40"/>
      <c r="D15" s="41"/>
      <c r="E15" s="40"/>
      <c r="F15" s="41"/>
      <c r="G15" s="41"/>
      <c r="H15" s="40"/>
      <c r="I15" s="40"/>
      <c r="J15" s="40"/>
      <c r="K15" s="40"/>
      <c r="L15" s="41"/>
      <c r="M15" s="41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2:26" ht="18.75" customHeight="1" x14ac:dyDescent="0.35">
      <c r="B16" s="46"/>
      <c r="C16" s="40"/>
      <c r="D16" s="41"/>
      <c r="E16" s="40"/>
      <c r="F16" s="41"/>
      <c r="G16" s="41"/>
      <c r="H16" s="40"/>
      <c r="I16" s="40"/>
      <c r="J16" s="40"/>
      <c r="K16" s="40"/>
      <c r="L16" s="41"/>
      <c r="M16" s="41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2:26" ht="18.75" customHeight="1" x14ac:dyDescent="0.35">
      <c r="B17" s="46"/>
      <c r="C17" s="40"/>
      <c r="D17" s="41"/>
      <c r="E17" s="40"/>
      <c r="F17" s="41"/>
      <c r="G17" s="41"/>
      <c r="H17" s="40"/>
      <c r="I17" s="40"/>
      <c r="J17" s="40"/>
      <c r="K17" s="40"/>
      <c r="L17" s="41"/>
      <c r="M17" s="41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2:26" ht="18.75" customHeight="1" x14ac:dyDescent="0.35">
      <c r="B18" s="46"/>
      <c r="C18" s="40"/>
      <c r="D18" s="41"/>
      <c r="E18" s="40"/>
      <c r="F18" s="41"/>
      <c r="G18" s="41"/>
      <c r="H18" s="40"/>
      <c r="I18" s="40"/>
      <c r="J18" s="40"/>
      <c r="K18" s="40"/>
      <c r="L18" s="41"/>
      <c r="M18" s="41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2:26" ht="18.75" customHeight="1" x14ac:dyDescent="0.35">
      <c r="B19" s="46"/>
      <c r="D19" s="41"/>
      <c r="E19" s="40"/>
      <c r="F19" s="41"/>
      <c r="G19" s="41"/>
      <c r="H19" s="40"/>
      <c r="I19" s="40"/>
      <c r="J19" s="40"/>
      <c r="K19" s="40"/>
      <c r="L19" s="41"/>
      <c r="M19" s="41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2:26" ht="18.75" customHeight="1" x14ac:dyDescent="0.35">
      <c r="B20" s="46"/>
      <c r="C20" s="40"/>
      <c r="D20" s="41"/>
      <c r="E20" s="40"/>
      <c r="F20" s="41"/>
      <c r="G20" s="41"/>
      <c r="H20" s="40"/>
      <c r="I20" s="40"/>
      <c r="J20" s="40"/>
      <c r="K20" s="40"/>
      <c r="L20" s="41"/>
      <c r="M20" s="41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2:26" ht="18.75" customHeight="1" x14ac:dyDescent="0.35">
      <c r="B21" s="46"/>
      <c r="C21" s="40"/>
      <c r="D21" s="41"/>
      <c r="E21" s="40"/>
      <c r="F21" s="41"/>
      <c r="G21" s="41"/>
      <c r="H21" s="40"/>
      <c r="I21" s="40"/>
      <c r="J21" s="40"/>
      <c r="K21" s="40"/>
      <c r="L21" s="41"/>
      <c r="M21" s="41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2:26" ht="18.75" customHeight="1" x14ac:dyDescent="0.35">
      <c r="B22" s="46"/>
      <c r="C22" s="40"/>
      <c r="D22" s="41"/>
      <c r="E22" s="40"/>
      <c r="F22" s="41"/>
      <c r="G22" s="41"/>
      <c r="H22" s="40"/>
      <c r="I22" s="40"/>
      <c r="J22" s="40"/>
      <c r="K22" s="40"/>
      <c r="L22" s="41"/>
      <c r="M22" s="41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2:26" ht="18.75" customHeight="1" x14ac:dyDescent="0.35">
      <c r="B23" s="46"/>
      <c r="C23" s="40"/>
      <c r="D23" s="41"/>
      <c r="E23" s="40"/>
      <c r="F23" s="41"/>
      <c r="G23" s="41"/>
      <c r="H23" s="40"/>
      <c r="I23" s="40"/>
      <c r="J23" s="40"/>
      <c r="K23" s="40"/>
      <c r="L23" s="41"/>
      <c r="M23" s="41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2:26" ht="18.75" customHeight="1" x14ac:dyDescent="0.35">
      <c r="B24" s="46"/>
      <c r="C24" s="40"/>
      <c r="D24" s="41"/>
      <c r="E24" s="40"/>
      <c r="F24" s="41"/>
      <c r="G24" s="41"/>
      <c r="H24" s="40"/>
      <c r="I24" s="40"/>
      <c r="J24" s="40"/>
      <c r="K24" s="40"/>
      <c r="L24" s="41"/>
      <c r="M24" s="41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2:26" ht="18.75" customHeight="1" x14ac:dyDescent="0.35">
      <c r="B25" s="46"/>
      <c r="C25" s="40"/>
      <c r="D25" s="41"/>
      <c r="E25" s="40"/>
      <c r="F25" s="41"/>
      <c r="G25" s="41"/>
      <c r="H25" s="40"/>
      <c r="I25" s="40"/>
      <c r="J25" s="40"/>
      <c r="K25" s="40"/>
      <c r="L25" s="41"/>
      <c r="M25" s="41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2:26" ht="18.75" customHeight="1" x14ac:dyDescent="0.35">
      <c r="B26" s="46"/>
      <c r="C26" s="40"/>
      <c r="D26" s="41"/>
      <c r="E26" s="40"/>
      <c r="F26" s="41"/>
      <c r="G26" s="41"/>
      <c r="H26" s="40"/>
      <c r="I26" s="40"/>
      <c r="J26" s="40"/>
      <c r="K26" s="40"/>
      <c r="L26" s="41"/>
      <c r="M26" s="41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2:26" ht="18.75" customHeight="1" x14ac:dyDescent="0.35">
      <c r="B27" s="46"/>
      <c r="C27" s="40"/>
      <c r="D27" s="41"/>
      <c r="E27" s="40"/>
      <c r="F27" s="41"/>
      <c r="G27" s="41"/>
      <c r="H27" s="40"/>
      <c r="I27" s="40"/>
      <c r="J27" s="40"/>
      <c r="K27" s="40"/>
      <c r="L27" s="41"/>
      <c r="M27" s="41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2:26" ht="18.75" customHeight="1" x14ac:dyDescent="0.35">
      <c r="B28" s="46"/>
      <c r="C28" s="40"/>
      <c r="D28" s="41"/>
      <c r="E28" s="40"/>
      <c r="F28" s="41"/>
      <c r="G28" s="41"/>
      <c r="H28" s="40"/>
      <c r="I28" s="40"/>
      <c r="J28" s="40"/>
      <c r="K28" s="40"/>
      <c r="L28" s="41"/>
      <c r="M28" s="41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2:26" ht="18.75" customHeight="1" x14ac:dyDescent="0.35">
      <c r="B29" s="46"/>
      <c r="C29" s="40"/>
      <c r="D29" s="41"/>
      <c r="E29" s="40"/>
      <c r="F29" s="41"/>
      <c r="G29" s="41"/>
      <c r="H29" s="40"/>
      <c r="I29" s="40"/>
      <c r="J29" s="40"/>
      <c r="K29" s="40"/>
      <c r="L29" s="41"/>
      <c r="M29" s="41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2:26" ht="18.75" customHeight="1" x14ac:dyDescent="0.35">
      <c r="B30" s="46"/>
      <c r="C30" s="40"/>
      <c r="D30" s="41"/>
      <c r="E30" s="40"/>
      <c r="F30" s="41"/>
      <c r="G30" s="41"/>
      <c r="H30" s="40"/>
      <c r="I30" s="40"/>
      <c r="J30" s="40"/>
      <c r="K30" s="40"/>
      <c r="L30" s="41"/>
      <c r="M30" s="41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2:26" ht="18.75" customHeight="1" x14ac:dyDescent="0.35">
      <c r="B31" s="46"/>
      <c r="C31" s="40"/>
      <c r="D31" s="41"/>
      <c r="E31" s="40"/>
      <c r="F31" s="41"/>
      <c r="G31" s="41"/>
      <c r="H31" s="40"/>
      <c r="I31" s="40"/>
      <c r="J31" s="40"/>
      <c r="K31" s="40"/>
      <c r="L31" s="41"/>
      <c r="M31" s="41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2:26" ht="18.75" customHeight="1" x14ac:dyDescent="0.35">
      <c r="B32" s="46"/>
      <c r="C32" s="40"/>
      <c r="D32" s="41"/>
      <c r="E32" s="40"/>
      <c r="F32" s="41"/>
      <c r="G32" s="41"/>
      <c r="H32" s="40"/>
      <c r="I32" s="40"/>
      <c r="J32" s="40"/>
      <c r="K32" s="40"/>
      <c r="L32" s="41"/>
      <c r="M32" s="41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2:26" ht="18.75" customHeight="1" x14ac:dyDescent="0.35">
      <c r="B33" s="46"/>
      <c r="C33" s="40"/>
      <c r="D33" s="41"/>
      <c r="E33" s="40"/>
      <c r="F33" s="41"/>
      <c r="G33" s="41"/>
      <c r="H33" s="40"/>
      <c r="I33" s="40"/>
      <c r="J33" s="40"/>
      <c r="K33" s="40"/>
      <c r="L33" s="41"/>
      <c r="M33" s="41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2:26" ht="18.75" customHeight="1" x14ac:dyDescent="0.35">
      <c r="B34" s="46"/>
      <c r="C34" s="40"/>
      <c r="D34" s="41"/>
      <c r="E34" s="40"/>
      <c r="F34" s="41"/>
      <c r="G34" s="41"/>
      <c r="H34" s="40"/>
      <c r="I34" s="40"/>
      <c r="J34" s="40"/>
      <c r="K34" s="40"/>
      <c r="L34" s="41"/>
      <c r="M34" s="41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2:26" ht="18.75" customHeight="1" x14ac:dyDescent="0.35">
      <c r="B35" s="46"/>
      <c r="C35" s="40"/>
      <c r="D35" s="41"/>
      <c r="E35" s="40"/>
      <c r="F35" s="41"/>
      <c r="G35" s="41"/>
      <c r="H35" s="40"/>
      <c r="I35" s="40"/>
      <c r="J35" s="40"/>
      <c r="K35" s="40"/>
      <c r="L35" s="41"/>
      <c r="M35" s="41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2:26" ht="18.75" customHeight="1" x14ac:dyDescent="0.35">
      <c r="B36" s="46"/>
      <c r="C36" s="40"/>
      <c r="D36" s="41"/>
      <c r="E36" s="40"/>
      <c r="F36" s="41"/>
      <c r="G36" s="41"/>
      <c r="H36" s="40"/>
      <c r="I36" s="40"/>
      <c r="J36" s="40"/>
      <c r="K36" s="40"/>
      <c r="L36" s="41"/>
      <c r="M36" s="41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2:26" ht="18.75" customHeight="1" x14ac:dyDescent="0.35">
      <c r="B37" s="46"/>
      <c r="C37" s="40"/>
      <c r="D37" s="41"/>
      <c r="E37" s="40"/>
      <c r="F37" s="41"/>
      <c r="G37" s="41"/>
      <c r="H37" s="40"/>
      <c r="I37" s="40"/>
      <c r="J37" s="40"/>
      <c r="K37" s="40"/>
      <c r="L37" s="41"/>
      <c r="M37" s="41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2:26" ht="18.75" customHeight="1" x14ac:dyDescent="0.35">
      <c r="B38" s="46"/>
      <c r="C38" s="40"/>
      <c r="D38" s="41"/>
      <c r="E38" s="40"/>
      <c r="F38" s="41"/>
      <c r="G38" s="41"/>
      <c r="H38" s="40"/>
      <c r="I38" s="40"/>
      <c r="J38" s="40"/>
      <c r="K38" s="40"/>
      <c r="L38" s="41"/>
      <c r="M38" s="41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2:26" ht="18.75" customHeight="1" x14ac:dyDescent="0.35">
      <c r="B39" s="46"/>
      <c r="C39" s="40"/>
      <c r="D39" s="41"/>
      <c r="E39" s="40"/>
      <c r="F39" s="41"/>
      <c r="G39" s="41"/>
      <c r="H39" s="40"/>
      <c r="I39" s="40"/>
      <c r="J39" s="40"/>
      <c r="K39" s="40"/>
      <c r="L39" s="41"/>
      <c r="M39" s="41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2:26" ht="18.75" customHeight="1" x14ac:dyDescent="0.35">
      <c r="B40" s="46"/>
      <c r="C40" s="40"/>
      <c r="D40" s="41"/>
      <c r="E40" s="40"/>
      <c r="F40" s="41"/>
      <c r="G40" s="41"/>
      <c r="H40" s="40"/>
      <c r="I40" s="40"/>
      <c r="J40" s="40"/>
      <c r="K40" s="40"/>
      <c r="L40" s="41"/>
      <c r="M40" s="41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2:26" ht="18.75" customHeight="1" x14ac:dyDescent="0.35">
      <c r="B41" s="46"/>
      <c r="C41" s="40"/>
      <c r="D41" s="41"/>
      <c r="E41" s="40"/>
      <c r="F41" s="41"/>
      <c r="G41" s="41"/>
      <c r="H41" s="40"/>
      <c r="I41" s="40"/>
      <c r="J41" s="40"/>
      <c r="K41" s="40"/>
      <c r="L41" s="41"/>
      <c r="M41" s="41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2:26" ht="18.75" customHeight="1" x14ac:dyDescent="0.35">
      <c r="B42" s="46"/>
      <c r="C42" s="40"/>
      <c r="D42" s="41"/>
      <c r="E42" s="40"/>
      <c r="F42" s="41"/>
      <c r="G42" s="41"/>
      <c r="H42" s="40"/>
      <c r="I42" s="40"/>
      <c r="J42" s="40"/>
      <c r="K42" s="40"/>
      <c r="L42" s="41"/>
      <c r="M42" s="41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2:26" ht="18.75" customHeight="1" x14ac:dyDescent="0.35">
      <c r="B43" s="46"/>
      <c r="C43" s="40"/>
      <c r="D43" s="41"/>
      <c r="E43" s="40"/>
      <c r="F43" s="41"/>
      <c r="G43" s="41"/>
      <c r="H43" s="40"/>
      <c r="I43" s="40"/>
      <c r="J43" s="40"/>
      <c r="K43" s="40"/>
      <c r="L43" s="41"/>
      <c r="M43" s="41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2:26" ht="18.75" customHeight="1" x14ac:dyDescent="0.35">
      <c r="B44" s="46"/>
      <c r="C44" s="40"/>
      <c r="D44" s="41"/>
      <c r="E44" s="40"/>
      <c r="F44" s="41"/>
      <c r="G44" s="41"/>
      <c r="H44" s="40"/>
      <c r="I44" s="40"/>
      <c r="J44" s="40"/>
      <c r="K44" s="40"/>
      <c r="L44" s="41"/>
      <c r="M44" s="41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2:26" ht="18.75" customHeight="1" x14ac:dyDescent="0.35">
      <c r="B45" s="46"/>
      <c r="C45" s="40"/>
      <c r="D45" s="41"/>
      <c r="E45" s="40"/>
      <c r="F45" s="41"/>
      <c r="G45" s="41"/>
      <c r="H45" s="40"/>
      <c r="I45" s="40"/>
      <c r="J45" s="40"/>
      <c r="K45" s="40"/>
      <c r="L45" s="41"/>
      <c r="M45" s="41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2:26" ht="18.75" customHeight="1" x14ac:dyDescent="0.35">
      <c r="B46" s="46"/>
      <c r="C46" s="40"/>
      <c r="D46" s="41"/>
      <c r="E46" s="40"/>
      <c r="F46" s="41"/>
      <c r="G46" s="41"/>
      <c r="H46" s="40"/>
      <c r="I46" s="40"/>
      <c r="J46" s="40"/>
      <c r="K46" s="40"/>
      <c r="L46" s="41"/>
      <c r="M46" s="41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2:26" ht="18.75" customHeight="1" x14ac:dyDescent="0.35">
      <c r="B47" s="46"/>
      <c r="C47" s="40"/>
      <c r="D47" s="41"/>
      <c r="E47" s="40"/>
      <c r="F47" s="41"/>
      <c r="G47" s="41"/>
      <c r="H47" s="40"/>
      <c r="I47" s="40"/>
      <c r="J47" s="40"/>
      <c r="K47" s="40"/>
      <c r="L47" s="41"/>
      <c r="M47" s="41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2:26" ht="18.75" customHeight="1" x14ac:dyDescent="0.35">
      <c r="B48" s="46"/>
      <c r="C48" s="40"/>
      <c r="D48" s="41"/>
      <c r="E48" s="40"/>
      <c r="F48" s="41"/>
      <c r="G48" s="41"/>
      <c r="H48" s="40"/>
      <c r="I48" s="40"/>
      <c r="J48" s="40"/>
      <c r="K48" s="40"/>
      <c r="L48" s="41"/>
      <c r="M48" s="41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2:26" ht="18.75" customHeight="1" x14ac:dyDescent="0.35">
      <c r="B49" s="46"/>
      <c r="C49" s="40"/>
      <c r="D49" s="41"/>
      <c r="E49" s="40"/>
      <c r="F49" s="41"/>
      <c r="G49" s="41"/>
      <c r="H49" s="40"/>
      <c r="I49" s="40"/>
      <c r="J49" s="40"/>
      <c r="K49" s="40"/>
      <c r="L49" s="41"/>
      <c r="M49" s="41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2:26" ht="18.75" customHeight="1" x14ac:dyDescent="0.35">
      <c r="B50" s="46"/>
      <c r="C50" s="40"/>
      <c r="D50" s="41"/>
      <c r="E50" s="40"/>
      <c r="F50" s="41"/>
      <c r="G50" s="41"/>
      <c r="H50" s="40"/>
      <c r="I50" s="40"/>
      <c r="J50" s="40"/>
      <c r="K50" s="40"/>
      <c r="L50" s="41"/>
      <c r="M50" s="41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2:26" ht="18.75" customHeight="1" x14ac:dyDescent="0.35">
      <c r="B51" s="46"/>
      <c r="C51" s="40"/>
      <c r="D51" s="41"/>
      <c r="E51" s="40"/>
      <c r="F51" s="41"/>
      <c r="G51" s="41"/>
      <c r="H51" s="40"/>
      <c r="I51" s="40"/>
      <c r="J51" s="40"/>
      <c r="K51" s="40"/>
      <c r="L51" s="41"/>
      <c r="M51" s="41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2:26" ht="18.75" customHeight="1" x14ac:dyDescent="0.35">
      <c r="B52" s="46"/>
      <c r="C52" s="40"/>
      <c r="D52" s="41"/>
      <c r="E52" s="40"/>
      <c r="F52" s="41"/>
      <c r="G52" s="41"/>
      <c r="H52" s="40"/>
      <c r="I52" s="40"/>
      <c r="J52" s="40"/>
      <c r="K52" s="40"/>
      <c r="L52" s="41"/>
      <c r="M52" s="41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2:26" ht="18.75" customHeight="1" x14ac:dyDescent="0.35">
      <c r="B53" s="46"/>
      <c r="C53" s="40"/>
      <c r="D53" s="41"/>
      <c r="E53" s="40"/>
      <c r="F53" s="41"/>
      <c r="G53" s="41"/>
      <c r="H53" s="40"/>
      <c r="I53" s="40"/>
      <c r="J53" s="40"/>
      <c r="K53" s="40"/>
      <c r="L53" s="41"/>
      <c r="M53" s="41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2:26" ht="18.75" customHeight="1" x14ac:dyDescent="0.35">
      <c r="B54" s="46"/>
      <c r="C54" s="40"/>
      <c r="D54" s="41"/>
      <c r="E54" s="40"/>
      <c r="F54" s="41"/>
      <c r="G54" s="41"/>
      <c r="H54" s="40"/>
      <c r="I54" s="40"/>
      <c r="J54" s="40"/>
      <c r="K54" s="40"/>
      <c r="L54" s="41"/>
      <c r="M54" s="41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2:26" ht="18.75" customHeight="1" x14ac:dyDescent="0.35">
      <c r="B55" s="46"/>
      <c r="C55" s="40"/>
      <c r="D55" s="41"/>
      <c r="E55" s="40"/>
      <c r="F55" s="41"/>
      <c r="G55" s="41"/>
      <c r="H55" s="40"/>
      <c r="I55" s="40"/>
      <c r="J55" s="40"/>
      <c r="K55" s="40"/>
      <c r="L55" s="41"/>
      <c r="M55" s="41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2:26" ht="18.75" customHeight="1" x14ac:dyDescent="0.35">
      <c r="B56" s="46"/>
      <c r="C56" s="40"/>
      <c r="D56" s="41"/>
      <c r="E56" s="40"/>
      <c r="F56" s="41"/>
      <c r="G56" s="41"/>
      <c r="H56" s="40"/>
      <c r="I56" s="40"/>
      <c r="J56" s="40"/>
      <c r="K56" s="40"/>
      <c r="L56" s="41"/>
      <c r="M56" s="41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2:26" ht="18.75" customHeight="1" x14ac:dyDescent="0.35">
      <c r="B57" s="46"/>
      <c r="C57" s="40"/>
      <c r="D57" s="41"/>
      <c r="E57" s="40"/>
      <c r="F57" s="41"/>
      <c r="G57" s="41"/>
      <c r="H57" s="40"/>
      <c r="I57" s="40"/>
      <c r="J57" s="40"/>
      <c r="K57" s="40"/>
      <c r="L57" s="41"/>
      <c r="M57" s="41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2:26" ht="18.75" customHeight="1" x14ac:dyDescent="0.35">
      <c r="B58" s="46"/>
      <c r="C58" s="40"/>
      <c r="D58" s="41"/>
      <c r="E58" s="40"/>
      <c r="F58" s="41"/>
      <c r="G58" s="41"/>
      <c r="H58" s="40"/>
      <c r="I58" s="40"/>
      <c r="J58" s="40"/>
      <c r="K58" s="40"/>
      <c r="L58" s="41"/>
      <c r="M58" s="41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2:26" ht="18.75" customHeight="1" x14ac:dyDescent="0.35">
      <c r="B59" s="46"/>
      <c r="C59" s="40"/>
      <c r="D59" s="41"/>
      <c r="E59" s="40"/>
      <c r="F59" s="41"/>
      <c r="G59" s="41"/>
      <c r="H59" s="40"/>
      <c r="I59" s="40"/>
      <c r="J59" s="40"/>
      <c r="K59" s="40"/>
      <c r="L59" s="41"/>
      <c r="M59" s="41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2:26" ht="18.75" customHeight="1" x14ac:dyDescent="0.35">
      <c r="B60" s="46"/>
      <c r="C60" s="40"/>
      <c r="D60" s="41"/>
      <c r="E60" s="40"/>
      <c r="F60" s="41"/>
      <c r="G60" s="41"/>
      <c r="H60" s="40"/>
      <c r="I60" s="40"/>
      <c r="J60" s="40"/>
      <c r="K60" s="40"/>
      <c r="L60" s="41"/>
      <c r="M60" s="41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2:26" ht="18.75" customHeight="1" x14ac:dyDescent="0.35">
      <c r="B61" s="46"/>
      <c r="C61" s="40"/>
      <c r="D61" s="41"/>
      <c r="E61" s="40"/>
      <c r="F61" s="41"/>
      <c r="G61" s="41"/>
      <c r="H61" s="40"/>
      <c r="I61" s="40"/>
      <c r="J61" s="40"/>
      <c r="K61" s="40"/>
      <c r="L61" s="41"/>
      <c r="M61" s="41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2:26" ht="18.75" customHeight="1" x14ac:dyDescent="0.35">
      <c r="B62" s="46"/>
      <c r="C62" s="40"/>
      <c r="D62" s="41"/>
      <c r="E62" s="40"/>
      <c r="F62" s="41"/>
      <c r="G62" s="41"/>
      <c r="H62" s="40"/>
      <c r="I62" s="40"/>
      <c r="J62" s="40"/>
      <c r="K62" s="40"/>
      <c r="L62" s="41"/>
      <c r="M62" s="41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2:26" ht="18.75" customHeight="1" x14ac:dyDescent="0.35">
      <c r="B63" s="46"/>
      <c r="C63" s="40"/>
      <c r="D63" s="41"/>
      <c r="E63" s="40"/>
      <c r="F63" s="41"/>
      <c r="G63" s="41"/>
      <c r="H63" s="40"/>
      <c r="I63" s="40"/>
      <c r="J63" s="40"/>
      <c r="K63" s="40"/>
      <c r="L63" s="41"/>
      <c r="M63" s="41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2:26" ht="18.75" customHeight="1" x14ac:dyDescent="0.35">
      <c r="B64" s="46"/>
      <c r="C64" s="40"/>
      <c r="D64" s="41"/>
      <c r="E64" s="40"/>
      <c r="F64" s="41"/>
      <c r="G64" s="41"/>
      <c r="H64" s="40"/>
      <c r="I64" s="40"/>
      <c r="J64" s="40"/>
      <c r="K64" s="40"/>
      <c r="L64" s="41"/>
      <c r="M64" s="41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2:26" ht="18.75" customHeight="1" x14ac:dyDescent="0.35">
      <c r="B65" s="46"/>
      <c r="C65" s="40"/>
      <c r="D65" s="41"/>
      <c r="E65" s="40"/>
      <c r="F65" s="41"/>
      <c r="G65" s="41"/>
      <c r="H65" s="40"/>
      <c r="I65" s="40"/>
      <c r="J65" s="40"/>
      <c r="K65" s="40"/>
      <c r="L65" s="41"/>
      <c r="M65" s="41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2:26" ht="18.75" customHeight="1" x14ac:dyDescent="0.35">
      <c r="B66" s="46"/>
      <c r="C66" s="40"/>
      <c r="D66" s="41"/>
      <c r="E66" s="40"/>
      <c r="F66" s="41"/>
      <c r="G66" s="41"/>
      <c r="H66" s="40"/>
      <c r="I66" s="40"/>
      <c r="J66" s="40"/>
      <c r="K66" s="40"/>
      <c r="L66" s="41"/>
      <c r="M66" s="41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2:26" ht="18.75" customHeight="1" x14ac:dyDescent="0.35">
      <c r="B67" s="46"/>
      <c r="C67" s="40"/>
      <c r="D67" s="41"/>
      <c r="E67" s="40"/>
      <c r="F67" s="41"/>
      <c r="G67" s="41"/>
      <c r="H67" s="40"/>
      <c r="I67" s="40"/>
      <c r="J67" s="40"/>
      <c r="K67" s="40"/>
      <c r="L67" s="41"/>
      <c r="M67" s="41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2:26" ht="18.75" customHeight="1" x14ac:dyDescent="0.35">
      <c r="B68" s="46"/>
      <c r="C68" s="40"/>
      <c r="D68" s="41"/>
      <c r="E68" s="40"/>
      <c r="F68" s="41"/>
      <c r="G68" s="41"/>
      <c r="H68" s="40"/>
      <c r="I68" s="40"/>
      <c r="J68" s="40"/>
      <c r="K68" s="40"/>
      <c r="L68" s="41"/>
      <c r="M68" s="41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2:26" ht="18.75" customHeight="1" x14ac:dyDescent="0.35">
      <c r="B69" s="46"/>
      <c r="C69" s="40"/>
      <c r="D69" s="41"/>
      <c r="E69" s="40"/>
      <c r="F69" s="41"/>
      <c r="G69" s="41"/>
      <c r="H69" s="40"/>
      <c r="I69" s="40"/>
      <c r="J69" s="40"/>
      <c r="K69" s="40"/>
      <c r="L69" s="41"/>
      <c r="M69" s="41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2:26" ht="18.75" customHeight="1" x14ac:dyDescent="0.35">
      <c r="B70" s="46"/>
      <c r="C70" s="40"/>
      <c r="D70" s="41"/>
      <c r="E70" s="40"/>
      <c r="F70" s="41"/>
      <c r="G70" s="41"/>
      <c r="H70" s="40"/>
      <c r="I70" s="40"/>
      <c r="J70" s="40"/>
      <c r="K70" s="40"/>
      <c r="L70" s="41"/>
      <c r="M70" s="41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2:26" ht="18.75" customHeight="1" x14ac:dyDescent="0.35">
      <c r="B71" s="46"/>
      <c r="C71" s="40"/>
      <c r="D71" s="41"/>
      <c r="E71" s="40"/>
      <c r="F71" s="41"/>
      <c r="G71" s="41"/>
      <c r="H71" s="40"/>
      <c r="I71" s="40"/>
      <c r="J71" s="40"/>
      <c r="K71" s="40"/>
      <c r="L71" s="41"/>
      <c r="M71" s="41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2:26" ht="18.75" customHeight="1" x14ac:dyDescent="0.35">
      <c r="B72" s="46"/>
      <c r="C72" s="40"/>
      <c r="D72" s="41"/>
      <c r="E72" s="40"/>
      <c r="F72" s="41"/>
      <c r="G72" s="41"/>
      <c r="H72" s="40"/>
      <c r="I72" s="40"/>
      <c r="J72" s="40"/>
      <c r="K72" s="40"/>
      <c r="L72" s="41"/>
      <c r="M72" s="41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2:26" ht="18.75" customHeight="1" x14ac:dyDescent="0.35">
      <c r="B73" s="46"/>
      <c r="C73" s="40"/>
      <c r="D73" s="41"/>
      <c r="E73" s="40"/>
      <c r="F73" s="41"/>
      <c r="G73" s="41"/>
      <c r="H73" s="40"/>
      <c r="I73" s="40"/>
      <c r="J73" s="40"/>
      <c r="K73" s="40"/>
      <c r="L73" s="41"/>
      <c r="M73" s="41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2:26" ht="18.75" customHeight="1" x14ac:dyDescent="0.35">
      <c r="B74" s="46"/>
      <c r="C74" s="40"/>
      <c r="D74" s="41"/>
      <c r="E74" s="40"/>
      <c r="F74" s="41"/>
      <c r="G74" s="41"/>
      <c r="H74" s="40"/>
      <c r="I74" s="40"/>
      <c r="J74" s="40"/>
      <c r="K74" s="40"/>
      <c r="L74" s="41"/>
      <c r="M74" s="41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2:26" ht="18.75" customHeight="1" x14ac:dyDescent="0.35">
      <c r="B75" s="46"/>
      <c r="C75" s="40"/>
      <c r="D75" s="41"/>
      <c r="E75" s="40"/>
      <c r="F75" s="41"/>
      <c r="G75" s="41"/>
      <c r="H75" s="40"/>
      <c r="I75" s="40"/>
      <c r="J75" s="40"/>
      <c r="K75" s="40"/>
      <c r="L75" s="41"/>
      <c r="M75" s="41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2:26" ht="18.75" customHeight="1" x14ac:dyDescent="0.35">
      <c r="B76" s="46"/>
      <c r="C76" s="40"/>
      <c r="D76" s="41"/>
      <c r="E76" s="40"/>
      <c r="F76" s="41"/>
      <c r="G76" s="41"/>
      <c r="H76" s="40"/>
      <c r="I76" s="40"/>
      <c r="J76" s="40"/>
      <c r="K76" s="40"/>
      <c r="L76" s="41"/>
      <c r="M76" s="41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2:26" ht="18.75" customHeight="1" x14ac:dyDescent="0.35">
      <c r="B77" s="46"/>
      <c r="C77" s="40"/>
      <c r="D77" s="41"/>
      <c r="E77" s="40"/>
      <c r="F77" s="41"/>
      <c r="G77" s="41"/>
      <c r="H77" s="40"/>
      <c r="I77" s="40"/>
      <c r="J77" s="40"/>
      <c r="K77" s="40"/>
      <c r="L77" s="41"/>
      <c r="M77" s="41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2:26" ht="18.75" customHeight="1" x14ac:dyDescent="0.35">
      <c r="B78" s="46"/>
      <c r="C78" s="40"/>
      <c r="D78" s="41"/>
      <c r="E78" s="40"/>
      <c r="F78" s="41"/>
      <c r="G78" s="41"/>
      <c r="H78" s="40"/>
      <c r="I78" s="40"/>
      <c r="J78" s="40"/>
      <c r="K78" s="40"/>
      <c r="L78" s="41"/>
      <c r="M78" s="41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2:26" ht="18.75" customHeight="1" x14ac:dyDescent="0.35">
      <c r="B79" s="46"/>
      <c r="C79" s="40"/>
      <c r="D79" s="41"/>
      <c r="E79" s="40"/>
      <c r="F79" s="41"/>
      <c r="G79" s="41"/>
      <c r="H79" s="40"/>
      <c r="I79" s="40"/>
      <c r="J79" s="40"/>
      <c r="K79" s="40"/>
      <c r="L79" s="41"/>
      <c r="M79" s="41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2:26" ht="18.75" customHeight="1" x14ac:dyDescent="0.35">
      <c r="B80" s="46"/>
      <c r="C80" s="40"/>
      <c r="D80" s="41"/>
      <c r="E80" s="40"/>
      <c r="F80" s="41"/>
      <c r="G80" s="41"/>
      <c r="H80" s="40"/>
      <c r="I80" s="40"/>
      <c r="J80" s="40"/>
      <c r="K80" s="40"/>
      <c r="L80" s="41"/>
      <c r="M80" s="41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2:26" ht="18.75" customHeight="1" x14ac:dyDescent="0.35">
      <c r="B81" s="46"/>
      <c r="C81" s="40"/>
      <c r="D81" s="41"/>
      <c r="E81" s="40"/>
      <c r="F81" s="41"/>
      <c r="G81" s="41"/>
      <c r="H81" s="40"/>
      <c r="I81" s="40"/>
      <c r="J81" s="40"/>
      <c r="K81" s="40"/>
      <c r="L81" s="41"/>
      <c r="M81" s="41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2:26" ht="18.75" customHeight="1" x14ac:dyDescent="0.35">
      <c r="B82" s="46"/>
      <c r="C82" s="40"/>
      <c r="D82" s="41"/>
      <c r="E82" s="40"/>
      <c r="F82" s="41"/>
      <c r="G82" s="41"/>
      <c r="H82" s="40"/>
      <c r="I82" s="40"/>
      <c r="J82" s="40"/>
      <c r="K82" s="40"/>
      <c r="L82" s="41"/>
      <c r="M82" s="41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2:26" ht="18.75" customHeight="1" x14ac:dyDescent="0.35">
      <c r="B83" s="46"/>
      <c r="C83" s="40"/>
      <c r="D83" s="41"/>
      <c r="E83" s="40"/>
      <c r="F83" s="41"/>
      <c r="G83" s="41"/>
      <c r="H83" s="40"/>
      <c r="I83" s="40"/>
      <c r="J83" s="40"/>
      <c r="K83" s="40"/>
      <c r="L83" s="41"/>
      <c r="M83" s="41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2:26" ht="18.75" customHeight="1" x14ac:dyDescent="0.35">
      <c r="B84" s="46"/>
      <c r="C84" s="40"/>
      <c r="D84" s="41"/>
      <c r="E84" s="40"/>
      <c r="F84" s="41"/>
      <c r="G84" s="41"/>
      <c r="H84" s="40"/>
      <c r="I84" s="40"/>
      <c r="J84" s="40"/>
      <c r="K84" s="40"/>
      <c r="L84" s="41"/>
      <c r="M84" s="41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2:26" ht="18.75" customHeight="1" x14ac:dyDescent="0.35">
      <c r="B85" s="46"/>
      <c r="C85" s="40"/>
      <c r="D85" s="41"/>
      <c r="E85" s="40"/>
      <c r="F85" s="41"/>
      <c r="G85" s="41"/>
      <c r="H85" s="40"/>
      <c r="I85" s="40"/>
      <c r="J85" s="40"/>
      <c r="K85" s="40"/>
      <c r="L85" s="41"/>
      <c r="M85" s="41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2:26" ht="18.75" customHeight="1" x14ac:dyDescent="0.35">
      <c r="B86" s="46"/>
      <c r="C86" s="40"/>
      <c r="D86" s="41"/>
      <c r="E86" s="40"/>
      <c r="F86" s="41"/>
      <c r="G86" s="41"/>
      <c r="H86" s="40"/>
      <c r="I86" s="40"/>
      <c r="J86" s="40"/>
      <c r="K86" s="40"/>
      <c r="L86" s="41"/>
      <c r="M86" s="41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2:26" ht="18.75" customHeight="1" x14ac:dyDescent="0.35">
      <c r="B87" s="46"/>
      <c r="C87" s="40"/>
      <c r="D87" s="41"/>
      <c r="E87" s="40"/>
      <c r="F87" s="41"/>
      <c r="G87" s="41"/>
      <c r="H87" s="40"/>
      <c r="I87" s="40"/>
      <c r="J87" s="40"/>
      <c r="K87" s="40"/>
      <c r="L87" s="41"/>
      <c r="M87" s="41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2:26" ht="18.75" customHeight="1" x14ac:dyDescent="0.35">
      <c r="B88" s="46"/>
      <c r="C88" s="40"/>
      <c r="D88" s="41"/>
      <c r="E88" s="40"/>
      <c r="F88" s="41"/>
      <c r="G88" s="41"/>
      <c r="H88" s="40"/>
      <c r="I88" s="40"/>
      <c r="J88" s="40"/>
      <c r="K88" s="40"/>
      <c r="L88" s="41"/>
      <c r="M88" s="41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2:26" ht="18.75" customHeight="1" x14ac:dyDescent="0.35">
      <c r="B89" s="46"/>
      <c r="C89" s="40"/>
      <c r="D89" s="41"/>
      <c r="E89" s="40"/>
      <c r="F89" s="41"/>
      <c r="G89" s="41"/>
      <c r="H89" s="40"/>
      <c r="I89" s="40"/>
      <c r="J89" s="40"/>
      <c r="K89" s="40"/>
      <c r="L89" s="41"/>
      <c r="M89" s="41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2:26" ht="18.75" customHeight="1" x14ac:dyDescent="0.35">
      <c r="B90" s="46"/>
      <c r="C90" s="40"/>
      <c r="D90" s="41"/>
      <c r="E90" s="40"/>
      <c r="F90" s="41"/>
      <c r="G90" s="41"/>
      <c r="H90" s="40"/>
      <c r="I90" s="40"/>
      <c r="J90" s="40"/>
      <c r="K90" s="40"/>
      <c r="L90" s="41"/>
      <c r="M90" s="41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2:26" ht="18.75" customHeight="1" x14ac:dyDescent="0.35">
      <c r="B91" s="46"/>
      <c r="C91" s="40"/>
      <c r="D91" s="41"/>
      <c r="E91" s="40"/>
      <c r="F91" s="41"/>
      <c r="G91" s="41"/>
      <c r="H91" s="40"/>
      <c r="I91" s="40"/>
      <c r="J91" s="40"/>
      <c r="K91" s="40"/>
      <c r="L91" s="41"/>
      <c r="M91" s="41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2:26" ht="18.75" customHeight="1" x14ac:dyDescent="0.35">
      <c r="B92" s="46"/>
      <c r="C92" s="40"/>
      <c r="D92" s="41"/>
      <c r="E92" s="40"/>
      <c r="F92" s="41"/>
      <c r="G92" s="41"/>
      <c r="H92" s="40"/>
      <c r="I92" s="40"/>
      <c r="J92" s="40"/>
      <c r="K92" s="40"/>
      <c r="L92" s="41"/>
      <c r="M92" s="41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2:26" ht="18.75" customHeight="1" x14ac:dyDescent="0.35">
      <c r="B93" s="46"/>
      <c r="C93" s="40"/>
      <c r="D93" s="41"/>
      <c r="E93" s="40"/>
      <c r="F93" s="41"/>
      <c r="G93" s="41"/>
      <c r="H93" s="40"/>
      <c r="I93" s="40"/>
      <c r="J93" s="40"/>
      <c r="K93" s="40"/>
      <c r="L93" s="41"/>
      <c r="M93" s="41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2:26" ht="18.75" customHeight="1" x14ac:dyDescent="0.35">
      <c r="B94" s="46"/>
      <c r="C94" s="40"/>
      <c r="D94" s="41"/>
      <c r="E94" s="40"/>
      <c r="F94" s="41"/>
      <c r="G94" s="41"/>
      <c r="H94" s="40"/>
      <c r="I94" s="40"/>
      <c r="J94" s="40"/>
      <c r="K94" s="40"/>
      <c r="L94" s="41"/>
      <c r="M94" s="41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2:26" ht="18.75" customHeight="1" x14ac:dyDescent="0.35">
      <c r="B95" s="46"/>
      <c r="C95" s="40"/>
      <c r="D95" s="41"/>
      <c r="E95" s="40"/>
      <c r="F95" s="41"/>
      <c r="G95" s="41"/>
      <c r="H95" s="40"/>
      <c r="I95" s="40"/>
      <c r="J95" s="40"/>
      <c r="K95" s="40"/>
      <c r="L95" s="41"/>
      <c r="M95" s="41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2:26" ht="18.75" customHeight="1" x14ac:dyDescent="0.35">
      <c r="B96" s="46"/>
      <c r="C96" s="40"/>
      <c r="D96" s="41"/>
      <c r="E96" s="40"/>
      <c r="F96" s="41"/>
      <c r="G96" s="41"/>
      <c r="H96" s="40"/>
      <c r="I96" s="40"/>
      <c r="J96" s="40"/>
      <c r="K96" s="40"/>
      <c r="L96" s="41"/>
      <c r="M96" s="41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2:26" ht="18.75" customHeight="1" x14ac:dyDescent="0.35">
      <c r="B97" s="46"/>
      <c r="C97" s="40"/>
      <c r="D97" s="41"/>
      <c r="E97" s="40"/>
      <c r="F97" s="41"/>
      <c r="G97" s="41"/>
      <c r="H97" s="40"/>
      <c r="I97" s="40"/>
      <c r="J97" s="40"/>
      <c r="K97" s="40"/>
      <c r="L97" s="41"/>
      <c r="M97" s="41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2:26" ht="18.75" customHeight="1" x14ac:dyDescent="0.35">
      <c r="B98" s="46"/>
      <c r="C98" s="40"/>
      <c r="D98" s="41"/>
      <c r="E98" s="40"/>
      <c r="F98" s="41"/>
      <c r="G98" s="41"/>
      <c r="H98" s="40"/>
      <c r="I98" s="40"/>
      <c r="J98" s="40"/>
      <c r="K98" s="40"/>
      <c r="L98" s="41"/>
      <c r="M98" s="41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2:26" ht="18.75" customHeight="1" x14ac:dyDescent="0.35">
      <c r="B99" s="46"/>
      <c r="C99" s="40"/>
      <c r="D99" s="41"/>
      <c r="E99" s="40"/>
      <c r="F99" s="41"/>
      <c r="G99" s="41"/>
      <c r="H99" s="40"/>
      <c r="I99" s="40"/>
      <c r="J99" s="40"/>
      <c r="K99" s="40"/>
      <c r="L99" s="41"/>
      <c r="M99" s="41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2:26" ht="18.75" customHeight="1" x14ac:dyDescent="0.35">
      <c r="B100" s="46"/>
      <c r="C100" s="40"/>
      <c r="D100" s="41"/>
      <c r="E100" s="40"/>
      <c r="F100" s="41"/>
      <c r="G100" s="41"/>
      <c r="H100" s="40"/>
      <c r="I100" s="40"/>
      <c r="J100" s="40"/>
      <c r="K100" s="40"/>
      <c r="L100" s="41"/>
      <c r="M100" s="41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2:26" ht="18.75" customHeight="1" x14ac:dyDescent="0.35">
      <c r="B101" s="46"/>
      <c r="C101" s="40"/>
      <c r="D101" s="41"/>
      <c r="E101" s="40"/>
      <c r="F101" s="41"/>
      <c r="G101" s="41"/>
      <c r="H101" s="40"/>
      <c r="I101" s="40"/>
      <c r="J101" s="40"/>
      <c r="K101" s="40"/>
      <c r="L101" s="41"/>
      <c r="M101" s="41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2:26" ht="18.75" customHeight="1" x14ac:dyDescent="0.35">
      <c r="B102" s="46"/>
      <c r="C102" s="40"/>
      <c r="D102" s="41"/>
      <c r="E102" s="40"/>
      <c r="F102" s="41"/>
      <c r="G102" s="41"/>
      <c r="H102" s="40"/>
      <c r="I102" s="40"/>
      <c r="J102" s="40"/>
      <c r="K102" s="40"/>
      <c r="L102" s="41"/>
      <c r="M102" s="41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2:26" ht="18.75" customHeight="1" x14ac:dyDescent="0.35">
      <c r="B103" s="46"/>
      <c r="C103" s="40"/>
      <c r="D103" s="41"/>
      <c r="E103" s="40"/>
      <c r="F103" s="41"/>
      <c r="G103" s="41"/>
      <c r="H103" s="40"/>
      <c r="I103" s="40"/>
      <c r="J103" s="40"/>
      <c r="K103" s="40"/>
      <c r="L103" s="41"/>
      <c r="M103" s="41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2:26" ht="18.75" customHeight="1" x14ac:dyDescent="0.35">
      <c r="B104" s="46"/>
      <c r="C104" s="40"/>
      <c r="D104" s="41"/>
      <c r="E104" s="40"/>
      <c r="F104" s="41"/>
      <c r="G104" s="41"/>
      <c r="H104" s="40"/>
      <c r="I104" s="40"/>
      <c r="J104" s="40"/>
      <c r="K104" s="40"/>
      <c r="L104" s="41"/>
      <c r="M104" s="41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2:26" ht="18.75" customHeight="1" x14ac:dyDescent="0.35">
      <c r="B105" s="46"/>
      <c r="C105" s="40"/>
      <c r="D105" s="41"/>
      <c r="E105" s="40"/>
      <c r="F105" s="41"/>
      <c r="G105" s="41"/>
      <c r="H105" s="40"/>
      <c r="I105" s="40"/>
      <c r="J105" s="40"/>
      <c r="K105" s="40"/>
      <c r="L105" s="41"/>
      <c r="M105" s="41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2:26" ht="18.75" customHeight="1" x14ac:dyDescent="0.35">
      <c r="B106" s="46"/>
      <c r="C106" s="40"/>
      <c r="D106" s="41"/>
      <c r="E106" s="40"/>
      <c r="F106" s="41"/>
      <c r="G106" s="41"/>
      <c r="H106" s="40"/>
      <c r="I106" s="40"/>
      <c r="J106" s="40"/>
      <c r="K106" s="40"/>
      <c r="L106" s="41"/>
      <c r="M106" s="41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2:26" ht="18.75" customHeight="1" x14ac:dyDescent="0.35">
      <c r="B107" s="46"/>
      <c r="C107" s="40"/>
      <c r="D107" s="41"/>
      <c r="E107" s="40"/>
      <c r="F107" s="41"/>
      <c r="G107" s="41"/>
      <c r="H107" s="40"/>
      <c r="I107" s="40"/>
      <c r="J107" s="40"/>
      <c r="K107" s="40"/>
      <c r="L107" s="41"/>
      <c r="M107" s="41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2:26" ht="18.75" customHeight="1" x14ac:dyDescent="0.35">
      <c r="B108" s="46"/>
      <c r="C108" s="40"/>
      <c r="D108" s="41"/>
      <c r="E108" s="40"/>
      <c r="F108" s="41"/>
      <c r="G108" s="41"/>
      <c r="H108" s="40"/>
      <c r="I108" s="40"/>
      <c r="J108" s="40"/>
      <c r="K108" s="40"/>
      <c r="L108" s="41"/>
      <c r="M108" s="41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2:26" ht="18.75" customHeight="1" x14ac:dyDescent="0.35">
      <c r="B109" s="46"/>
      <c r="C109" s="40"/>
      <c r="D109" s="41"/>
      <c r="E109" s="40"/>
      <c r="F109" s="41"/>
      <c r="G109" s="41"/>
      <c r="H109" s="40"/>
      <c r="I109" s="40"/>
      <c r="J109" s="40"/>
      <c r="K109" s="40"/>
      <c r="L109" s="41"/>
      <c r="M109" s="41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2:26" ht="18.75" customHeight="1" x14ac:dyDescent="0.35">
      <c r="B110" s="46"/>
      <c r="C110" s="40"/>
      <c r="D110" s="41"/>
      <c r="E110" s="40"/>
      <c r="F110" s="41"/>
      <c r="G110" s="41"/>
      <c r="H110" s="40"/>
      <c r="I110" s="40"/>
      <c r="J110" s="40"/>
      <c r="K110" s="40"/>
      <c r="L110" s="41"/>
      <c r="M110" s="41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2:26" ht="18.75" customHeight="1" x14ac:dyDescent="0.35">
      <c r="B111" s="46"/>
      <c r="C111" s="40"/>
      <c r="D111" s="41"/>
      <c r="E111" s="40"/>
      <c r="F111" s="41"/>
      <c r="G111" s="41"/>
      <c r="H111" s="40"/>
      <c r="I111" s="40"/>
      <c r="J111" s="40"/>
      <c r="K111" s="40"/>
      <c r="L111" s="41"/>
      <c r="M111" s="41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2:26" ht="18.75" customHeight="1" x14ac:dyDescent="0.35">
      <c r="B112" s="46"/>
      <c r="C112" s="40"/>
      <c r="D112" s="41"/>
      <c r="E112" s="40"/>
      <c r="F112" s="41"/>
      <c r="G112" s="41"/>
      <c r="H112" s="40"/>
      <c r="I112" s="40"/>
      <c r="J112" s="40"/>
      <c r="K112" s="40"/>
      <c r="L112" s="41"/>
      <c r="M112" s="41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2:26" ht="18.75" customHeight="1" x14ac:dyDescent="0.35">
      <c r="B113" s="46"/>
      <c r="C113" s="40"/>
      <c r="D113" s="41"/>
      <c r="E113" s="40"/>
      <c r="F113" s="41"/>
      <c r="G113" s="41"/>
      <c r="H113" s="40"/>
      <c r="I113" s="40"/>
      <c r="J113" s="40"/>
      <c r="K113" s="40"/>
      <c r="L113" s="41"/>
      <c r="M113" s="41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2:26" ht="18.75" customHeight="1" x14ac:dyDescent="0.35">
      <c r="B114" s="46"/>
      <c r="C114" s="40"/>
      <c r="D114" s="41"/>
      <c r="E114" s="40"/>
      <c r="F114" s="41"/>
      <c r="G114" s="41"/>
      <c r="H114" s="40"/>
      <c r="I114" s="40"/>
      <c r="J114" s="40"/>
      <c r="K114" s="40"/>
      <c r="L114" s="41"/>
      <c r="M114" s="41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2:26" ht="18.75" customHeight="1" x14ac:dyDescent="0.35">
      <c r="B115" s="46"/>
      <c r="C115" s="40"/>
      <c r="D115" s="41"/>
      <c r="E115" s="40"/>
      <c r="F115" s="41"/>
      <c r="G115" s="41"/>
      <c r="H115" s="40"/>
      <c r="I115" s="40"/>
      <c r="J115" s="40"/>
      <c r="K115" s="40"/>
      <c r="L115" s="41"/>
      <c r="M115" s="41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2:26" ht="18.75" customHeight="1" x14ac:dyDescent="0.35">
      <c r="B116" s="46"/>
      <c r="C116" s="40"/>
      <c r="D116" s="41"/>
      <c r="E116" s="40"/>
      <c r="F116" s="41"/>
      <c r="G116" s="41"/>
      <c r="H116" s="40"/>
      <c r="I116" s="40"/>
      <c r="J116" s="40"/>
      <c r="K116" s="40"/>
      <c r="L116" s="41"/>
      <c r="M116" s="41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2:26" ht="18.75" customHeight="1" x14ac:dyDescent="0.35">
      <c r="B117" s="46"/>
      <c r="C117" s="40"/>
      <c r="D117" s="41"/>
      <c r="E117" s="40"/>
      <c r="F117" s="41"/>
      <c r="G117" s="41"/>
      <c r="H117" s="40"/>
      <c r="I117" s="40"/>
      <c r="J117" s="40"/>
      <c r="K117" s="40"/>
      <c r="L117" s="41"/>
      <c r="M117" s="41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2:26" ht="18.75" customHeight="1" x14ac:dyDescent="0.35">
      <c r="B118" s="46"/>
      <c r="C118" s="40"/>
      <c r="D118" s="41"/>
      <c r="E118" s="40"/>
      <c r="F118" s="41"/>
      <c r="G118" s="41"/>
      <c r="H118" s="40"/>
      <c r="I118" s="40"/>
      <c r="J118" s="40"/>
      <c r="K118" s="40"/>
      <c r="L118" s="41"/>
      <c r="M118" s="41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2:26" ht="18.75" customHeight="1" x14ac:dyDescent="0.35">
      <c r="B119" s="46"/>
      <c r="C119" s="40"/>
      <c r="D119" s="41"/>
      <c r="E119" s="40"/>
      <c r="F119" s="41"/>
      <c r="G119" s="41"/>
      <c r="H119" s="40"/>
      <c r="I119" s="40"/>
      <c r="J119" s="40"/>
      <c r="K119" s="40"/>
      <c r="L119" s="41"/>
      <c r="M119" s="41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2:26" ht="18.75" customHeight="1" x14ac:dyDescent="0.35">
      <c r="B120" s="46"/>
      <c r="C120" s="40"/>
      <c r="D120" s="41"/>
      <c r="E120" s="40"/>
      <c r="F120" s="41"/>
      <c r="G120" s="41"/>
      <c r="H120" s="40"/>
      <c r="I120" s="40"/>
      <c r="J120" s="40"/>
      <c r="K120" s="40"/>
      <c r="L120" s="41"/>
      <c r="M120" s="41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2:26" ht="18.75" customHeight="1" x14ac:dyDescent="0.35">
      <c r="B121" s="46"/>
      <c r="C121" s="40"/>
      <c r="D121" s="41"/>
      <c r="E121" s="40"/>
      <c r="F121" s="41"/>
      <c r="G121" s="41"/>
      <c r="H121" s="40"/>
      <c r="I121" s="40"/>
      <c r="J121" s="40"/>
      <c r="K121" s="40"/>
      <c r="L121" s="41"/>
      <c r="M121" s="41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2:26" ht="18.75" customHeight="1" x14ac:dyDescent="0.35">
      <c r="B122" s="46"/>
      <c r="C122" s="40"/>
      <c r="D122" s="41"/>
      <c r="E122" s="40"/>
      <c r="F122" s="41"/>
      <c r="G122" s="41"/>
      <c r="H122" s="40"/>
      <c r="I122" s="40"/>
      <c r="J122" s="40"/>
      <c r="K122" s="40"/>
      <c r="L122" s="41"/>
      <c r="M122" s="41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2:26" ht="18.75" customHeight="1" x14ac:dyDescent="0.35">
      <c r="B123" s="46"/>
      <c r="C123" s="40"/>
      <c r="D123" s="41"/>
      <c r="E123" s="40"/>
      <c r="F123" s="41"/>
      <c r="G123" s="41"/>
      <c r="H123" s="40"/>
      <c r="I123" s="40"/>
      <c r="J123" s="40"/>
      <c r="K123" s="40"/>
      <c r="L123" s="41"/>
      <c r="M123" s="41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2:26" ht="18.75" customHeight="1" x14ac:dyDescent="0.35">
      <c r="B124" s="46"/>
      <c r="C124" s="40"/>
      <c r="D124" s="41"/>
      <c r="E124" s="40"/>
      <c r="F124" s="41"/>
      <c r="G124" s="41"/>
      <c r="H124" s="40"/>
      <c r="I124" s="40"/>
      <c r="J124" s="40"/>
      <c r="K124" s="40"/>
      <c r="L124" s="41"/>
      <c r="M124" s="41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2:26" ht="18.75" customHeight="1" x14ac:dyDescent="0.35">
      <c r="B125" s="46"/>
      <c r="C125" s="40"/>
      <c r="D125" s="41"/>
      <c r="E125" s="40"/>
      <c r="F125" s="41"/>
      <c r="G125" s="41"/>
      <c r="H125" s="40"/>
      <c r="I125" s="40"/>
      <c r="J125" s="40"/>
      <c r="K125" s="40"/>
      <c r="L125" s="41"/>
      <c r="M125" s="41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2:26" ht="18.75" customHeight="1" x14ac:dyDescent="0.35">
      <c r="B126" s="46"/>
      <c r="C126" s="40"/>
      <c r="D126" s="41"/>
      <c r="E126" s="40"/>
      <c r="F126" s="41"/>
      <c r="G126" s="41"/>
      <c r="H126" s="40"/>
      <c r="I126" s="40"/>
      <c r="J126" s="40"/>
      <c r="K126" s="40"/>
      <c r="L126" s="41"/>
      <c r="M126" s="41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2:26" ht="18.75" customHeight="1" x14ac:dyDescent="0.35">
      <c r="B127" s="46"/>
      <c r="C127" s="40"/>
      <c r="D127" s="41"/>
      <c r="E127" s="40"/>
      <c r="F127" s="41"/>
      <c r="G127" s="41"/>
      <c r="H127" s="40"/>
      <c r="I127" s="40"/>
      <c r="J127" s="40"/>
      <c r="K127" s="40"/>
      <c r="L127" s="41"/>
      <c r="M127" s="41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2:26" ht="18.75" customHeight="1" x14ac:dyDescent="0.35">
      <c r="B128" s="46"/>
      <c r="C128" s="40"/>
      <c r="D128" s="41"/>
      <c r="E128" s="40"/>
      <c r="F128" s="41"/>
      <c r="G128" s="41"/>
      <c r="H128" s="40"/>
      <c r="I128" s="40"/>
      <c r="J128" s="40"/>
      <c r="K128" s="40"/>
      <c r="L128" s="41"/>
      <c r="M128" s="41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2:26" ht="18.75" customHeight="1" x14ac:dyDescent="0.35">
      <c r="B129" s="46"/>
      <c r="C129" s="40"/>
      <c r="D129" s="41"/>
      <c r="E129" s="40"/>
      <c r="F129" s="41"/>
      <c r="G129" s="41"/>
      <c r="H129" s="40"/>
      <c r="I129" s="40"/>
      <c r="J129" s="40"/>
      <c r="K129" s="40"/>
      <c r="L129" s="41"/>
      <c r="M129" s="41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2:26" ht="18.75" customHeight="1" x14ac:dyDescent="0.35">
      <c r="B130" s="46"/>
      <c r="C130" s="40"/>
      <c r="D130" s="41"/>
      <c r="E130" s="40"/>
      <c r="F130" s="41"/>
      <c r="G130" s="41"/>
      <c r="H130" s="40"/>
      <c r="I130" s="40"/>
      <c r="J130" s="40"/>
      <c r="K130" s="40"/>
      <c r="L130" s="41"/>
      <c r="M130" s="41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2:26" ht="18.75" customHeight="1" x14ac:dyDescent="0.35">
      <c r="B131" s="46"/>
      <c r="C131" s="40"/>
      <c r="D131" s="41"/>
      <c r="E131" s="40"/>
      <c r="F131" s="41"/>
      <c r="G131" s="41"/>
      <c r="H131" s="40"/>
      <c r="I131" s="40"/>
      <c r="J131" s="40"/>
      <c r="K131" s="40"/>
      <c r="L131" s="41"/>
      <c r="M131" s="41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2:26" ht="18.75" customHeight="1" x14ac:dyDescent="0.35">
      <c r="B132" s="46"/>
      <c r="C132" s="40"/>
      <c r="D132" s="41"/>
      <c r="E132" s="40"/>
      <c r="F132" s="41"/>
      <c r="G132" s="41"/>
      <c r="H132" s="40"/>
      <c r="I132" s="40"/>
      <c r="J132" s="40"/>
      <c r="K132" s="40"/>
      <c r="L132" s="41"/>
      <c r="M132" s="41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2:26" ht="18.75" customHeight="1" x14ac:dyDescent="0.35">
      <c r="B133" s="46"/>
      <c r="C133" s="40"/>
      <c r="D133" s="41"/>
      <c r="E133" s="40"/>
      <c r="F133" s="41"/>
      <c r="G133" s="41"/>
      <c r="H133" s="40"/>
      <c r="I133" s="40"/>
      <c r="J133" s="40"/>
      <c r="K133" s="40"/>
      <c r="L133" s="41"/>
      <c r="M133" s="41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2:26" ht="18.75" customHeight="1" x14ac:dyDescent="0.35">
      <c r="B134" s="46"/>
      <c r="C134" s="40"/>
      <c r="D134" s="41"/>
      <c r="E134" s="40"/>
      <c r="F134" s="41"/>
      <c r="G134" s="41"/>
      <c r="H134" s="40"/>
      <c r="I134" s="40"/>
      <c r="J134" s="40"/>
      <c r="K134" s="40"/>
      <c r="L134" s="41"/>
      <c r="M134" s="41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2:26" ht="18.75" customHeight="1" x14ac:dyDescent="0.35">
      <c r="B135" s="46"/>
      <c r="C135" s="40"/>
      <c r="D135" s="41"/>
      <c r="E135" s="40"/>
      <c r="F135" s="41"/>
      <c r="G135" s="41"/>
      <c r="H135" s="40"/>
      <c r="I135" s="40"/>
      <c r="J135" s="40"/>
      <c r="K135" s="40"/>
      <c r="L135" s="41"/>
      <c r="M135" s="41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2:26" ht="18.75" customHeight="1" x14ac:dyDescent="0.35">
      <c r="B136" s="46"/>
      <c r="C136" s="40"/>
      <c r="D136" s="41"/>
      <c r="E136" s="40"/>
      <c r="F136" s="41"/>
      <c r="G136" s="41"/>
      <c r="H136" s="40"/>
      <c r="I136" s="40"/>
      <c r="J136" s="40"/>
      <c r="K136" s="40"/>
      <c r="L136" s="41"/>
      <c r="M136" s="41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2:26" ht="18.75" customHeight="1" x14ac:dyDescent="0.35">
      <c r="B137" s="46"/>
      <c r="C137" s="40"/>
      <c r="D137" s="41"/>
      <c r="E137" s="40"/>
      <c r="F137" s="41"/>
      <c r="G137" s="41"/>
      <c r="H137" s="40"/>
      <c r="I137" s="40"/>
      <c r="J137" s="40"/>
      <c r="K137" s="40"/>
      <c r="L137" s="41"/>
      <c r="M137" s="41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2:26" ht="18.75" customHeight="1" x14ac:dyDescent="0.35">
      <c r="B138" s="46"/>
      <c r="C138" s="40"/>
      <c r="D138" s="41"/>
      <c r="E138" s="40"/>
      <c r="F138" s="41"/>
      <c r="G138" s="41"/>
      <c r="H138" s="40"/>
      <c r="I138" s="40"/>
      <c r="J138" s="40"/>
      <c r="K138" s="40"/>
      <c r="L138" s="41"/>
      <c r="M138" s="41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2:26" ht="18.75" customHeight="1" x14ac:dyDescent="0.35">
      <c r="B139" s="46"/>
      <c r="C139" s="40"/>
      <c r="D139" s="41"/>
      <c r="E139" s="40"/>
      <c r="F139" s="41"/>
      <c r="G139" s="41"/>
      <c r="H139" s="40"/>
      <c r="I139" s="40"/>
      <c r="J139" s="40"/>
      <c r="K139" s="40"/>
      <c r="L139" s="41"/>
      <c r="M139" s="41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2:26" ht="18.75" customHeight="1" x14ac:dyDescent="0.35">
      <c r="B140" s="46"/>
      <c r="C140" s="40"/>
      <c r="D140" s="41"/>
      <c r="E140" s="40"/>
      <c r="F140" s="41"/>
      <c r="G140" s="41"/>
      <c r="H140" s="40"/>
      <c r="I140" s="40"/>
      <c r="J140" s="40"/>
      <c r="K140" s="40"/>
      <c r="L140" s="41"/>
      <c r="M140" s="41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2:26" ht="18.75" customHeight="1" x14ac:dyDescent="0.35">
      <c r="B141" s="46"/>
      <c r="C141" s="40"/>
      <c r="D141" s="41"/>
      <c r="E141" s="40"/>
      <c r="F141" s="41"/>
      <c r="G141" s="41"/>
      <c r="H141" s="40"/>
      <c r="I141" s="40"/>
      <c r="J141" s="40"/>
      <c r="K141" s="40"/>
      <c r="L141" s="41"/>
      <c r="M141" s="41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2:26" ht="18.75" customHeight="1" x14ac:dyDescent="0.35">
      <c r="B142" s="46"/>
      <c r="C142" s="40"/>
      <c r="D142" s="41"/>
      <c r="E142" s="40"/>
      <c r="F142" s="41"/>
      <c r="G142" s="41"/>
      <c r="H142" s="40"/>
      <c r="I142" s="40"/>
      <c r="J142" s="40"/>
      <c r="K142" s="40"/>
      <c r="L142" s="41"/>
      <c r="M142" s="41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2:26" ht="18.75" customHeight="1" x14ac:dyDescent="0.35">
      <c r="B143" s="46"/>
      <c r="C143" s="40"/>
      <c r="D143" s="41"/>
      <c r="E143" s="40"/>
      <c r="F143" s="41"/>
      <c r="G143" s="41"/>
      <c r="H143" s="40"/>
      <c r="I143" s="40"/>
      <c r="J143" s="40"/>
      <c r="K143" s="40"/>
      <c r="L143" s="41"/>
      <c r="M143" s="41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2:26" ht="18.75" customHeight="1" x14ac:dyDescent="0.35">
      <c r="B144" s="46"/>
      <c r="C144" s="40"/>
      <c r="D144" s="41"/>
      <c r="E144" s="40"/>
      <c r="F144" s="41"/>
      <c r="G144" s="41"/>
      <c r="H144" s="40"/>
      <c r="I144" s="40"/>
      <c r="J144" s="40"/>
      <c r="K144" s="40"/>
      <c r="L144" s="41"/>
      <c r="M144" s="41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2:26" ht="18.75" customHeight="1" x14ac:dyDescent="0.35">
      <c r="B145" s="46"/>
      <c r="C145" s="40"/>
      <c r="D145" s="41"/>
      <c r="E145" s="40"/>
      <c r="F145" s="41"/>
      <c r="G145" s="41"/>
      <c r="H145" s="40"/>
      <c r="I145" s="40"/>
      <c r="J145" s="40"/>
      <c r="K145" s="40"/>
      <c r="L145" s="41"/>
      <c r="M145" s="41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2:26" ht="18.75" customHeight="1" x14ac:dyDescent="0.35">
      <c r="B146" s="46"/>
      <c r="C146" s="40"/>
      <c r="D146" s="41"/>
      <c r="E146" s="40"/>
      <c r="F146" s="41"/>
      <c r="G146" s="41"/>
      <c r="H146" s="40"/>
      <c r="I146" s="40"/>
      <c r="J146" s="40"/>
      <c r="K146" s="40"/>
      <c r="L146" s="41"/>
      <c r="M146" s="41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2:26" ht="18.75" customHeight="1" x14ac:dyDescent="0.35">
      <c r="B147" s="46"/>
      <c r="C147" s="40"/>
      <c r="D147" s="41"/>
      <c r="E147" s="40"/>
      <c r="F147" s="41"/>
      <c r="G147" s="41"/>
      <c r="H147" s="40"/>
      <c r="I147" s="40"/>
      <c r="J147" s="40"/>
      <c r="K147" s="40"/>
      <c r="L147" s="41"/>
      <c r="M147" s="41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2:26" ht="18.75" customHeight="1" x14ac:dyDescent="0.35">
      <c r="B148" s="46"/>
      <c r="C148" s="40"/>
      <c r="D148" s="41"/>
      <c r="E148" s="40"/>
      <c r="F148" s="41"/>
      <c r="G148" s="41"/>
      <c r="H148" s="40"/>
      <c r="I148" s="40"/>
      <c r="J148" s="40"/>
      <c r="K148" s="40"/>
      <c r="L148" s="41"/>
      <c r="M148" s="41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2:26" ht="18.75" customHeight="1" x14ac:dyDescent="0.35">
      <c r="B149" s="46"/>
      <c r="C149" s="40"/>
      <c r="D149" s="41"/>
      <c r="E149" s="40"/>
      <c r="F149" s="41"/>
      <c r="G149" s="41"/>
      <c r="H149" s="40"/>
      <c r="I149" s="40"/>
      <c r="J149" s="40"/>
      <c r="K149" s="40"/>
      <c r="L149" s="41"/>
      <c r="M149" s="41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2:26" ht="18.75" customHeight="1" x14ac:dyDescent="0.35">
      <c r="B150" s="46"/>
      <c r="C150" s="40"/>
      <c r="D150" s="41"/>
      <c r="E150" s="40"/>
      <c r="F150" s="41"/>
      <c r="G150" s="41"/>
      <c r="H150" s="40"/>
      <c r="I150" s="40"/>
      <c r="J150" s="40"/>
      <c r="K150" s="40"/>
      <c r="L150" s="41"/>
      <c r="M150" s="41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2:26" ht="18.75" customHeight="1" x14ac:dyDescent="0.35">
      <c r="B151" s="46"/>
      <c r="C151" s="40"/>
      <c r="D151" s="41"/>
      <c r="E151" s="40"/>
      <c r="F151" s="41"/>
      <c r="G151" s="41"/>
      <c r="H151" s="40"/>
      <c r="I151" s="40"/>
      <c r="J151" s="40"/>
      <c r="K151" s="40"/>
      <c r="L151" s="41"/>
      <c r="M151" s="41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2:26" ht="18.75" customHeight="1" x14ac:dyDescent="0.35">
      <c r="B152" s="46"/>
      <c r="C152" s="40"/>
      <c r="D152" s="41"/>
      <c r="E152" s="40"/>
      <c r="F152" s="41"/>
      <c r="G152" s="41"/>
      <c r="H152" s="40"/>
      <c r="I152" s="40"/>
      <c r="J152" s="40"/>
      <c r="K152" s="40"/>
      <c r="L152" s="41"/>
      <c r="M152" s="41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2:26" ht="18.75" customHeight="1" x14ac:dyDescent="0.35">
      <c r="B153" s="46"/>
      <c r="C153" s="40"/>
      <c r="D153" s="41"/>
      <c r="E153" s="40"/>
      <c r="F153" s="41"/>
      <c r="G153" s="41"/>
      <c r="H153" s="40"/>
      <c r="I153" s="40"/>
      <c r="J153" s="40"/>
      <c r="K153" s="40"/>
      <c r="L153" s="41"/>
      <c r="M153" s="41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2:26" ht="18.75" customHeight="1" x14ac:dyDescent="0.35">
      <c r="B154" s="46"/>
      <c r="C154" s="40"/>
      <c r="D154" s="41"/>
      <c r="E154" s="40"/>
      <c r="F154" s="41"/>
      <c r="G154" s="41"/>
      <c r="H154" s="40"/>
      <c r="I154" s="40"/>
      <c r="J154" s="40"/>
      <c r="K154" s="40"/>
      <c r="L154" s="41"/>
      <c r="M154" s="41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2:26" ht="18.75" customHeight="1" x14ac:dyDescent="0.35">
      <c r="B155" s="46"/>
      <c r="C155" s="40"/>
      <c r="D155" s="41"/>
      <c r="E155" s="40"/>
      <c r="F155" s="41"/>
      <c r="G155" s="41"/>
      <c r="H155" s="40"/>
      <c r="I155" s="40"/>
      <c r="J155" s="40"/>
      <c r="K155" s="40"/>
      <c r="L155" s="41"/>
      <c r="M155" s="41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2:26" ht="18.75" customHeight="1" x14ac:dyDescent="0.35">
      <c r="B156" s="46"/>
      <c r="C156" s="40"/>
      <c r="D156" s="41"/>
      <c r="E156" s="40"/>
      <c r="F156" s="41"/>
      <c r="G156" s="41"/>
      <c r="H156" s="40"/>
      <c r="I156" s="40"/>
      <c r="J156" s="40"/>
      <c r="K156" s="40"/>
      <c r="L156" s="41"/>
      <c r="M156" s="41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2:26" ht="18.75" customHeight="1" x14ac:dyDescent="0.35">
      <c r="B157" s="46"/>
      <c r="C157" s="40"/>
      <c r="D157" s="41"/>
      <c r="E157" s="40"/>
      <c r="F157" s="41"/>
      <c r="G157" s="41"/>
      <c r="H157" s="40"/>
      <c r="I157" s="40"/>
      <c r="J157" s="40"/>
      <c r="K157" s="40"/>
      <c r="L157" s="41"/>
      <c r="M157" s="41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2:26" ht="18.75" customHeight="1" x14ac:dyDescent="0.35">
      <c r="B158" s="46"/>
      <c r="C158" s="40"/>
      <c r="D158" s="41"/>
      <c r="E158" s="40"/>
      <c r="F158" s="41"/>
      <c r="G158" s="41"/>
      <c r="H158" s="40"/>
      <c r="I158" s="40"/>
      <c r="J158" s="40"/>
      <c r="K158" s="40"/>
      <c r="L158" s="41"/>
      <c r="M158" s="41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2:26" ht="18.75" customHeight="1" x14ac:dyDescent="0.35">
      <c r="B159" s="46"/>
      <c r="C159" s="40"/>
      <c r="D159" s="41"/>
      <c r="E159" s="40"/>
      <c r="F159" s="41"/>
      <c r="G159" s="41"/>
      <c r="H159" s="40"/>
      <c r="I159" s="40"/>
      <c r="J159" s="40"/>
      <c r="K159" s="40"/>
      <c r="L159" s="41"/>
      <c r="M159" s="41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2:26" ht="18.75" customHeight="1" x14ac:dyDescent="0.35">
      <c r="B160" s="46"/>
      <c r="C160" s="40"/>
      <c r="D160" s="41"/>
      <c r="E160" s="40"/>
      <c r="F160" s="41"/>
      <c r="G160" s="41"/>
      <c r="H160" s="40"/>
      <c r="I160" s="40"/>
      <c r="J160" s="40"/>
      <c r="K160" s="40"/>
      <c r="L160" s="41"/>
      <c r="M160" s="41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2:26" ht="18.75" customHeight="1" x14ac:dyDescent="0.35">
      <c r="B161" s="46"/>
      <c r="C161" s="40"/>
      <c r="D161" s="41"/>
      <c r="E161" s="40"/>
      <c r="F161" s="41"/>
      <c r="G161" s="41"/>
      <c r="H161" s="40"/>
      <c r="I161" s="40"/>
      <c r="J161" s="40"/>
      <c r="K161" s="40"/>
      <c r="L161" s="41"/>
      <c r="M161" s="41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2:26" ht="18.75" customHeight="1" x14ac:dyDescent="0.35">
      <c r="B162" s="46"/>
      <c r="C162" s="40"/>
      <c r="D162" s="41"/>
      <c r="E162" s="40"/>
      <c r="F162" s="41"/>
      <c r="G162" s="41"/>
      <c r="H162" s="40"/>
      <c r="I162" s="40"/>
      <c r="J162" s="40"/>
      <c r="K162" s="40"/>
      <c r="L162" s="41"/>
      <c r="M162" s="41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2:26" ht="18.75" customHeight="1" x14ac:dyDescent="0.35">
      <c r="B163" s="46"/>
      <c r="C163" s="40"/>
      <c r="D163" s="41"/>
      <c r="E163" s="40"/>
      <c r="F163" s="41"/>
      <c r="G163" s="41"/>
      <c r="H163" s="40"/>
      <c r="I163" s="40"/>
      <c r="J163" s="40"/>
      <c r="K163" s="40"/>
      <c r="L163" s="41"/>
      <c r="M163" s="41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2:26" ht="18.75" customHeight="1" x14ac:dyDescent="0.35">
      <c r="B164" s="46"/>
      <c r="C164" s="40"/>
      <c r="D164" s="41"/>
      <c r="E164" s="40"/>
      <c r="F164" s="41"/>
      <c r="G164" s="41"/>
      <c r="H164" s="40"/>
      <c r="I164" s="40"/>
      <c r="J164" s="40"/>
      <c r="K164" s="40"/>
      <c r="L164" s="41"/>
      <c r="M164" s="41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2:26" ht="18.75" customHeight="1" x14ac:dyDescent="0.35">
      <c r="B165" s="46"/>
      <c r="C165" s="40"/>
      <c r="D165" s="41"/>
      <c r="E165" s="40"/>
      <c r="F165" s="41"/>
      <c r="G165" s="41"/>
      <c r="H165" s="40"/>
      <c r="I165" s="40"/>
      <c r="J165" s="40"/>
      <c r="K165" s="40"/>
      <c r="L165" s="41"/>
      <c r="M165" s="41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2:26" ht="18.75" customHeight="1" x14ac:dyDescent="0.35">
      <c r="B166" s="46"/>
      <c r="C166" s="40"/>
      <c r="D166" s="41"/>
      <c r="E166" s="40"/>
      <c r="F166" s="41"/>
      <c r="G166" s="41"/>
      <c r="H166" s="40"/>
      <c r="I166" s="40"/>
      <c r="J166" s="40"/>
      <c r="K166" s="40"/>
      <c r="L166" s="41"/>
      <c r="M166" s="41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2:26" ht="18.75" customHeight="1" x14ac:dyDescent="0.35">
      <c r="B167" s="46"/>
      <c r="C167" s="40"/>
      <c r="D167" s="41"/>
      <c r="E167" s="40"/>
      <c r="F167" s="41"/>
      <c r="G167" s="41"/>
      <c r="H167" s="40"/>
      <c r="I167" s="40"/>
      <c r="J167" s="40"/>
      <c r="K167" s="40"/>
      <c r="L167" s="41"/>
      <c r="M167" s="41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2:26" ht="18.75" customHeight="1" x14ac:dyDescent="0.35">
      <c r="B168" s="46"/>
      <c r="C168" s="40"/>
      <c r="D168" s="41"/>
      <c r="E168" s="40"/>
      <c r="F168" s="41"/>
      <c r="G168" s="41"/>
      <c r="H168" s="40"/>
      <c r="I168" s="40"/>
      <c r="J168" s="40"/>
      <c r="K168" s="40"/>
      <c r="L168" s="41"/>
      <c r="M168" s="41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2:26" ht="18.75" customHeight="1" x14ac:dyDescent="0.35">
      <c r="B169" s="46"/>
      <c r="C169" s="40"/>
      <c r="D169" s="41"/>
      <c r="E169" s="40"/>
      <c r="F169" s="41"/>
      <c r="G169" s="41"/>
      <c r="H169" s="40"/>
      <c r="I169" s="40"/>
      <c r="J169" s="40"/>
      <c r="K169" s="40"/>
      <c r="L169" s="41"/>
      <c r="M169" s="41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2:26" ht="18.75" customHeight="1" x14ac:dyDescent="0.35">
      <c r="B170" s="46"/>
      <c r="C170" s="40"/>
      <c r="D170" s="41"/>
      <c r="E170" s="40"/>
      <c r="F170" s="41"/>
      <c r="G170" s="41"/>
      <c r="H170" s="40"/>
      <c r="I170" s="40"/>
      <c r="J170" s="40"/>
      <c r="K170" s="40"/>
      <c r="L170" s="41"/>
      <c r="M170" s="41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2:26" ht="18.75" customHeight="1" x14ac:dyDescent="0.35">
      <c r="B171" s="46"/>
      <c r="C171" s="40"/>
      <c r="D171" s="41"/>
      <c r="E171" s="40"/>
      <c r="F171" s="41"/>
      <c r="G171" s="41"/>
      <c r="H171" s="40"/>
      <c r="I171" s="40"/>
      <c r="J171" s="40"/>
      <c r="K171" s="40"/>
      <c r="L171" s="41"/>
      <c r="M171" s="41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2:26" ht="18.75" customHeight="1" x14ac:dyDescent="0.35">
      <c r="B172" s="46"/>
      <c r="C172" s="40"/>
      <c r="D172" s="41"/>
      <c r="E172" s="40"/>
      <c r="F172" s="41"/>
      <c r="G172" s="41"/>
      <c r="H172" s="40"/>
      <c r="I172" s="40"/>
      <c r="J172" s="40"/>
      <c r="K172" s="40"/>
      <c r="L172" s="41"/>
      <c r="M172" s="41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2:26" ht="18.75" customHeight="1" x14ac:dyDescent="0.35">
      <c r="B173" s="46"/>
      <c r="C173" s="40"/>
      <c r="D173" s="41"/>
      <c r="E173" s="40"/>
      <c r="F173" s="41"/>
      <c r="G173" s="41"/>
      <c r="H173" s="40"/>
      <c r="I173" s="40"/>
      <c r="J173" s="40"/>
      <c r="K173" s="40"/>
      <c r="L173" s="41"/>
      <c r="M173" s="41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2:26" ht="18.75" customHeight="1" x14ac:dyDescent="0.35">
      <c r="B174" s="46"/>
      <c r="C174" s="40"/>
      <c r="D174" s="41"/>
      <c r="E174" s="40"/>
      <c r="F174" s="41"/>
      <c r="G174" s="41"/>
      <c r="H174" s="40"/>
      <c r="I174" s="40"/>
      <c r="J174" s="40"/>
      <c r="K174" s="40"/>
      <c r="L174" s="41"/>
      <c r="M174" s="41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2:26" ht="18.75" customHeight="1" x14ac:dyDescent="0.35">
      <c r="B175" s="46"/>
      <c r="C175" s="40"/>
      <c r="D175" s="41"/>
      <c r="E175" s="40"/>
      <c r="F175" s="41"/>
      <c r="G175" s="41"/>
      <c r="H175" s="40"/>
      <c r="I175" s="40"/>
      <c r="J175" s="40"/>
      <c r="K175" s="40"/>
      <c r="L175" s="41"/>
      <c r="M175" s="41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2:26" ht="18.75" customHeight="1" x14ac:dyDescent="0.35">
      <c r="B176" s="46"/>
      <c r="C176" s="40"/>
      <c r="D176" s="41"/>
      <c r="E176" s="40"/>
      <c r="F176" s="41"/>
      <c r="G176" s="41"/>
      <c r="H176" s="40"/>
      <c r="I176" s="40"/>
      <c r="J176" s="40"/>
      <c r="K176" s="40"/>
      <c r="L176" s="41"/>
      <c r="M176" s="41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2:26" ht="18.75" customHeight="1" x14ac:dyDescent="0.35">
      <c r="B177" s="46"/>
      <c r="C177" s="40"/>
      <c r="D177" s="41"/>
      <c r="E177" s="40"/>
      <c r="F177" s="41"/>
      <c r="G177" s="41"/>
      <c r="H177" s="40"/>
      <c r="I177" s="40"/>
      <c r="J177" s="40"/>
      <c r="K177" s="40"/>
      <c r="L177" s="41"/>
      <c r="M177" s="41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2:26" ht="18.75" customHeight="1" x14ac:dyDescent="0.35">
      <c r="B178" s="46"/>
      <c r="C178" s="40"/>
      <c r="D178" s="41"/>
      <c r="E178" s="40"/>
      <c r="F178" s="41"/>
      <c r="G178" s="41"/>
      <c r="H178" s="40"/>
      <c r="I178" s="40"/>
      <c r="J178" s="40"/>
      <c r="K178" s="40"/>
      <c r="L178" s="41"/>
      <c r="M178" s="41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2:26" ht="18.75" customHeight="1" x14ac:dyDescent="0.35">
      <c r="B179" s="46"/>
      <c r="C179" s="40"/>
      <c r="D179" s="41"/>
      <c r="E179" s="40"/>
      <c r="F179" s="41"/>
      <c r="G179" s="41"/>
      <c r="H179" s="40"/>
      <c r="I179" s="40"/>
      <c r="J179" s="40"/>
      <c r="K179" s="40"/>
      <c r="L179" s="41"/>
      <c r="M179" s="41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2:26" ht="18.75" customHeight="1" x14ac:dyDescent="0.35">
      <c r="B180" s="46"/>
      <c r="C180" s="40"/>
      <c r="D180" s="41"/>
      <c r="E180" s="40"/>
      <c r="F180" s="41"/>
      <c r="G180" s="41"/>
      <c r="H180" s="40"/>
      <c r="I180" s="40"/>
      <c r="J180" s="40"/>
      <c r="K180" s="40"/>
      <c r="L180" s="41"/>
      <c r="M180" s="41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2:26" ht="18.75" customHeight="1" x14ac:dyDescent="0.35">
      <c r="B181" s="46"/>
      <c r="C181" s="40"/>
      <c r="D181" s="41"/>
      <c r="E181" s="40"/>
      <c r="F181" s="41"/>
      <c r="G181" s="41"/>
      <c r="H181" s="40"/>
      <c r="I181" s="40"/>
      <c r="J181" s="40"/>
      <c r="K181" s="40"/>
      <c r="L181" s="41"/>
      <c r="M181" s="41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2:26" ht="18.75" customHeight="1" x14ac:dyDescent="0.35">
      <c r="B182" s="46"/>
      <c r="C182" s="40"/>
      <c r="D182" s="41"/>
      <c r="E182" s="40"/>
      <c r="F182" s="41"/>
      <c r="G182" s="41"/>
      <c r="H182" s="40"/>
      <c r="I182" s="40"/>
      <c r="J182" s="40"/>
      <c r="K182" s="40"/>
      <c r="L182" s="41"/>
      <c r="M182" s="41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2:26" ht="18.75" customHeight="1" x14ac:dyDescent="0.35">
      <c r="B183" s="46"/>
      <c r="C183" s="40"/>
      <c r="D183" s="41"/>
      <c r="E183" s="40"/>
      <c r="F183" s="41"/>
      <c r="G183" s="41"/>
      <c r="H183" s="40"/>
      <c r="I183" s="40"/>
      <c r="J183" s="40"/>
      <c r="K183" s="40"/>
      <c r="L183" s="41"/>
      <c r="M183" s="41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2:26" ht="18.75" customHeight="1" x14ac:dyDescent="0.35">
      <c r="B184" s="46"/>
      <c r="C184" s="40"/>
      <c r="D184" s="41"/>
      <c r="E184" s="40"/>
      <c r="F184" s="41"/>
      <c r="G184" s="41"/>
      <c r="H184" s="40"/>
      <c r="I184" s="40"/>
      <c r="J184" s="40"/>
      <c r="K184" s="40"/>
      <c r="L184" s="41"/>
      <c r="M184" s="41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2:26" ht="18.75" customHeight="1" x14ac:dyDescent="0.35">
      <c r="B185" s="46"/>
      <c r="C185" s="40"/>
      <c r="D185" s="41"/>
      <c r="E185" s="40"/>
      <c r="F185" s="41"/>
      <c r="G185" s="41"/>
      <c r="H185" s="40"/>
      <c r="I185" s="40"/>
      <c r="J185" s="40"/>
      <c r="K185" s="40"/>
      <c r="L185" s="41"/>
      <c r="M185" s="41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2:26" ht="18.75" customHeight="1" x14ac:dyDescent="0.35">
      <c r="B186" s="46"/>
      <c r="C186" s="40"/>
      <c r="D186" s="41"/>
      <c r="E186" s="40"/>
      <c r="F186" s="41"/>
      <c r="G186" s="41"/>
      <c r="H186" s="40"/>
      <c r="I186" s="40"/>
      <c r="J186" s="40"/>
      <c r="K186" s="40"/>
      <c r="L186" s="41"/>
      <c r="M186" s="41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2:26" ht="18.75" customHeight="1" x14ac:dyDescent="0.35">
      <c r="B187" s="46"/>
      <c r="C187" s="40"/>
      <c r="D187" s="41"/>
      <c r="E187" s="40"/>
      <c r="F187" s="41"/>
      <c r="G187" s="41"/>
      <c r="H187" s="40"/>
      <c r="I187" s="40"/>
      <c r="J187" s="40"/>
      <c r="K187" s="40"/>
      <c r="L187" s="41"/>
      <c r="M187" s="41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2:26" ht="18.75" customHeight="1" x14ac:dyDescent="0.35">
      <c r="B188" s="46"/>
      <c r="C188" s="40"/>
      <c r="D188" s="41"/>
      <c r="E188" s="40"/>
      <c r="F188" s="41"/>
      <c r="G188" s="41"/>
      <c r="H188" s="40"/>
      <c r="I188" s="40"/>
      <c r="J188" s="40"/>
      <c r="K188" s="40"/>
      <c r="L188" s="41"/>
      <c r="M188" s="41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2:26" ht="18.75" customHeight="1" x14ac:dyDescent="0.35">
      <c r="B189" s="46"/>
      <c r="C189" s="40"/>
      <c r="D189" s="41"/>
      <c r="E189" s="40"/>
      <c r="F189" s="41"/>
      <c r="G189" s="41"/>
      <c r="H189" s="40"/>
      <c r="I189" s="40"/>
      <c r="J189" s="40"/>
      <c r="K189" s="40"/>
      <c r="L189" s="41"/>
      <c r="M189" s="41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2:26" ht="18.75" customHeight="1" x14ac:dyDescent="0.35">
      <c r="B190" s="46"/>
      <c r="C190" s="40"/>
      <c r="D190" s="41"/>
      <c r="E190" s="40"/>
      <c r="F190" s="41"/>
      <c r="G190" s="41"/>
      <c r="H190" s="40"/>
      <c r="I190" s="40"/>
      <c r="J190" s="40"/>
      <c r="K190" s="40"/>
      <c r="L190" s="41"/>
      <c r="M190" s="41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2:26" ht="18.75" customHeight="1" x14ac:dyDescent="0.35">
      <c r="B191" s="46"/>
      <c r="C191" s="40"/>
      <c r="D191" s="41"/>
      <c r="E191" s="40"/>
      <c r="F191" s="41"/>
      <c r="G191" s="41"/>
      <c r="H191" s="40"/>
      <c r="I191" s="40"/>
      <c r="J191" s="40"/>
      <c r="K191" s="40"/>
      <c r="L191" s="41"/>
      <c r="M191" s="41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2:26" ht="18.75" customHeight="1" x14ac:dyDescent="0.35">
      <c r="B192" s="46"/>
      <c r="C192" s="40"/>
      <c r="D192" s="41"/>
      <c r="E192" s="40"/>
      <c r="F192" s="41"/>
      <c r="G192" s="41"/>
      <c r="H192" s="40"/>
      <c r="I192" s="40"/>
      <c r="J192" s="40"/>
      <c r="K192" s="40"/>
      <c r="L192" s="41"/>
      <c r="M192" s="41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2:26" ht="18.75" customHeight="1" x14ac:dyDescent="0.35">
      <c r="B193" s="46"/>
      <c r="C193" s="40"/>
      <c r="D193" s="41"/>
      <c r="E193" s="40"/>
      <c r="F193" s="41"/>
      <c r="G193" s="41"/>
      <c r="H193" s="40"/>
      <c r="I193" s="40"/>
      <c r="J193" s="40"/>
      <c r="K193" s="40"/>
      <c r="L193" s="41"/>
      <c r="M193" s="41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2:26" ht="18.75" customHeight="1" x14ac:dyDescent="0.35">
      <c r="B194" s="46"/>
      <c r="C194" s="40"/>
      <c r="D194" s="41"/>
      <c r="E194" s="40"/>
      <c r="F194" s="41"/>
      <c r="G194" s="41"/>
      <c r="H194" s="40"/>
      <c r="I194" s="40"/>
      <c r="J194" s="40"/>
      <c r="K194" s="40"/>
      <c r="L194" s="41"/>
      <c r="M194" s="41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2:26" ht="18.75" customHeight="1" x14ac:dyDescent="0.35">
      <c r="B195" s="46"/>
      <c r="C195" s="40"/>
      <c r="D195" s="41"/>
      <c r="E195" s="40"/>
      <c r="F195" s="41"/>
      <c r="G195" s="41"/>
      <c r="H195" s="40"/>
      <c r="I195" s="40"/>
      <c r="J195" s="40"/>
      <c r="K195" s="40"/>
      <c r="L195" s="41"/>
      <c r="M195" s="41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2:26" ht="18.75" customHeight="1" x14ac:dyDescent="0.35">
      <c r="B196" s="46"/>
      <c r="C196" s="40"/>
      <c r="D196" s="41"/>
      <c r="E196" s="40"/>
      <c r="F196" s="41"/>
      <c r="G196" s="41"/>
      <c r="H196" s="40"/>
      <c r="I196" s="40"/>
      <c r="J196" s="40"/>
      <c r="K196" s="40"/>
      <c r="L196" s="41"/>
      <c r="M196" s="41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2:26" ht="18.75" customHeight="1" x14ac:dyDescent="0.35">
      <c r="B197" s="46"/>
      <c r="C197" s="40"/>
      <c r="D197" s="41"/>
      <c r="E197" s="40"/>
      <c r="F197" s="41"/>
      <c r="G197" s="41"/>
      <c r="H197" s="40"/>
      <c r="I197" s="40"/>
      <c r="J197" s="40"/>
      <c r="K197" s="40"/>
      <c r="L197" s="41"/>
      <c r="M197" s="41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2:26" ht="18.75" customHeight="1" x14ac:dyDescent="0.35">
      <c r="B198" s="46"/>
      <c r="C198" s="40"/>
      <c r="D198" s="41"/>
      <c r="E198" s="40"/>
      <c r="F198" s="41"/>
      <c r="G198" s="41"/>
      <c r="H198" s="40"/>
      <c r="I198" s="40"/>
      <c r="J198" s="40"/>
      <c r="K198" s="40"/>
      <c r="L198" s="41"/>
      <c r="M198" s="41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2:26" ht="18.75" customHeight="1" x14ac:dyDescent="0.35">
      <c r="B199" s="46"/>
      <c r="C199" s="40"/>
      <c r="D199" s="41"/>
      <c r="E199" s="40"/>
      <c r="F199" s="41"/>
      <c r="G199" s="41"/>
      <c r="H199" s="40"/>
      <c r="I199" s="40"/>
      <c r="J199" s="40"/>
      <c r="K199" s="40"/>
      <c r="L199" s="41"/>
      <c r="M199" s="41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2:26" ht="18.75" customHeight="1" x14ac:dyDescent="0.35">
      <c r="B200" s="46"/>
      <c r="C200" s="40"/>
      <c r="D200" s="41"/>
      <c r="E200" s="40"/>
      <c r="F200" s="41"/>
      <c r="G200" s="41"/>
      <c r="H200" s="40"/>
      <c r="I200" s="40"/>
      <c r="J200" s="40"/>
      <c r="K200" s="40"/>
      <c r="L200" s="41"/>
      <c r="M200" s="41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2:26" ht="18.75" customHeight="1" x14ac:dyDescent="0.35">
      <c r="B201" s="46"/>
      <c r="C201" s="40"/>
      <c r="D201" s="41"/>
      <c r="E201" s="40"/>
      <c r="F201" s="41"/>
      <c r="G201" s="41"/>
      <c r="H201" s="40"/>
      <c r="I201" s="40"/>
      <c r="J201" s="40"/>
      <c r="K201" s="40"/>
      <c r="L201" s="41"/>
      <c r="M201" s="41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2:26" ht="18.75" customHeight="1" x14ac:dyDescent="0.35">
      <c r="B202" s="46"/>
      <c r="C202" s="40"/>
      <c r="D202" s="41"/>
      <c r="E202" s="40"/>
      <c r="F202" s="41"/>
      <c r="G202" s="41"/>
      <c r="H202" s="40"/>
      <c r="I202" s="40"/>
      <c r="J202" s="40"/>
      <c r="K202" s="40"/>
      <c r="L202" s="41"/>
      <c r="M202" s="41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2:26" ht="18.75" customHeight="1" x14ac:dyDescent="0.35">
      <c r="B203" s="46"/>
      <c r="C203" s="40"/>
      <c r="D203" s="41"/>
      <c r="E203" s="40"/>
      <c r="F203" s="41"/>
      <c r="G203" s="41"/>
      <c r="H203" s="40"/>
      <c r="I203" s="40"/>
      <c r="J203" s="40"/>
      <c r="K203" s="40"/>
      <c r="L203" s="41"/>
      <c r="M203" s="41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2:26" ht="18.75" customHeight="1" x14ac:dyDescent="0.35">
      <c r="B204" s="46"/>
      <c r="C204" s="40"/>
      <c r="D204" s="41"/>
      <c r="E204" s="40"/>
      <c r="F204" s="41"/>
      <c r="G204" s="41"/>
      <c r="H204" s="40"/>
      <c r="I204" s="40"/>
      <c r="J204" s="40"/>
      <c r="K204" s="40"/>
      <c r="L204" s="41"/>
      <c r="M204" s="41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2:26" ht="18.75" customHeight="1" x14ac:dyDescent="0.35">
      <c r="B205" s="46"/>
      <c r="C205" s="40"/>
      <c r="D205" s="41"/>
      <c r="E205" s="40"/>
      <c r="F205" s="41"/>
      <c r="G205" s="41"/>
      <c r="H205" s="40"/>
      <c r="I205" s="40"/>
      <c r="J205" s="40"/>
      <c r="K205" s="40"/>
      <c r="L205" s="41"/>
      <c r="M205" s="41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2:26" ht="18.75" customHeight="1" x14ac:dyDescent="0.35">
      <c r="B206" s="46"/>
      <c r="C206" s="40"/>
      <c r="D206" s="41"/>
      <c r="E206" s="40"/>
      <c r="F206" s="41"/>
      <c r="G206" s="41"/>
      <c r="H206" s="40"/>
      <c r="I206" s="40"/>
      <c r="J206" s="40"/>
      <c r="K206" s="40"/>
      <c r="L206" s="41"/>
      <c r="M206" s="41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2:26" ht="18.75" customHeight="1" x14ac:dyDescent="0.35">
      <c r="B207" s="46"/>
      <c r="C207" s="40"/>
      <c r="D207" s="41"/>
      <c r="E207" s="40"/>
      <c r="F207" s="41"/>
      <c r="G207" s="41"/>
      <c r="H207" s="40"/>
      <c r="I207" s="40"/>
      <c r="J207" s="40"/>
      <c r="K207" s="40"/>
      <c r="L207" s="41"/>
      <c r="M207" s="41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2:26" ht="18.75" customHeight="1" x14ac:dyDescent="0.35">
      <c r="B208" s="46"/>
      <c r="C208" s="40"/>
      <c r="D208" s="41"/>
      <c r="E208" s="40"/>
      <c r="F208" s="41"/>
      <c r="G208" s="41"/>
      <c r="H208" s="40"/>
      <c r="I208" s="40"/>
      <c r="J208" s="40"/>
      <c r="K208" s="40"/>
      <c r="L208" s="41"/>
      <c r="M208" s="41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2:26" ht="18.75" customHeight="1" x14ac:dyDescent="0.35">
      <c r="B209" s="46"/>
      <c r="C209" s="40"/>
      <c r="D209" s="41"/>
      <c r="E209" s="40"/>
      <c r="F209" s="41"/>
      <c r="G209" s="41"/>
      <c r="H209" s="40"/>
      <c r="I209" s="40"/>
      <c r="J209" s="40"/>
      <c r="K209" s="40"/>
      <c r="L209" s="41"/>
      <c r="M209" s="41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2:26" ht="18.75" customHeight="1" x14ac:dyDescent="0.35">
      <c r="B210" s="46"/>
      <c r="C210" s="40"/>
      <c r="D210" s="41"/>
      <c r="E210" s="40"/>
      <c r="F210" s="41"/>
      <c r="G210" s="41"/>
      <c r="H210" s="40"/>
      <c r="I210" s="40"/>
      <c r="J210" s="40"/>
      <c r="K210" s="40"/>
      <c r="L210" s="41"/>
      <c r="M210" s="41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2:26" ht="18.75" customHeight="1" x14ac:dyDescent="0.35">
      <c r="B211" s="46"/>
      <c r="C211" s="40"/>
      <c r="D211" s="41"/>
      <c r="E211" s="40"/>
      <c r="F211" s="41"/>
      <c r="G211" s="41"/>
      <c r="H211" s="40"/>
      <c r="I211" s="40"/>
      <c r="J211" s="40"/>
      <c r="K211" s="40"/>
      <c r="L211" s="41"/>
      <c r="M211" s="41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2:26" ht="18.75" customHeight="1" x14ac:dyDescent="0.35">
      <c r="B212" s="46"/>
      <c r="C212" s="40"/>
      <c r="D212" s="41"/>
      <c r="E212" s="40"/>
      <c r="F212" s="41"/>
      <c r="G212" s="41"/>
      <c r="H212" s="40"/>
      <c r="I212" s="40"/>
      <c r="J212" s="40"/>
      <c r="K212" s="40"/>
      <c r="L212" s="41"/>
      <c r="M212" s="41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2:26" ht="18.75" customHeight="1" x14ac:dyDescent="0.35">
      <c r="B213" s="46"/>
      <c r="C213" s="40"/>
      <c r="D213" s="41"/>
      <c r="E213" s="40"/>
      <c r="F213" s="41"/>
      <c r="G213" s="41"/>
      <c r="H213" s="40"/>
      <c r="I213" s="40"/>
      <c r="J213" s="40"/>
      <c r="K213" s="40"/>
      <c r="L213" s="41"/>
      <c r="M213" s="41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2:26" ht="18.75" customHeight="1" x14ac:dyDescent="0.35">
      <c r="B214" s="46"/>
      <c r="C214" s="40"/>
      <c r="D214" s="41"/>
      <c r="E214" s="40"/>
      <c r="F214" s="41"/>
      <c r="G214" s="41"/>
      <c r="H214" s="40"/>
      <c r="I214" s="40"/>
      <c r="J214" s="40"/>
      <c r="K214" s="40"/>
      <c r="L214" s="41"/>
      <c r="M214" s="41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2:26" ht="15.75" customHeight="1" x14ac:dyDescent="0.35"/>
    <row r="216" spans="2:26" ht="15.75" customHeight="1" x14ac:dyDescent="0.35"/>
    <row r="217" spans="2:26" ht="15.75" customHeight="1" x14ac:dyDescent="0.35"/>
    <row r="218" spans="2:26" ht="15.75" customHeight="1" x14ac:dyDescent="0.35"/>
    <row r="219" spans="2:26" ht="15.75" customHeight="1" x14ac:dyDescent="0.35"/>
    <row r="220" spans="2:26" ht="15.75" customHeight="1" x14ac:dyDescent="0.35"/>
    <row r="221" spans="2:26" ht="15.75" customHeight="1" x14ac:dyDescent="0.35"/>
    <row r="222" spans="2:26" ht="15.75" customHeight="1" x14ac:dyDescent="0.35"/>
    <row r="223" spans="2:26" ht="15.75" customHeight="1" x14ac:dyDescent="0.35"/>
    <row r="224" spans="2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</sheetData>
  <mergeCells count="8">
    <mergeCell ref="F3:F4"/>
    <mergeCell ref="G3:J3"/>
    <mergeCell ref="B2:J2"/>
    <mergeCell ref="B14:E14"/>
    <mergeCell ref="B3:B4"/>
    <mergeCell ref="C3:C4"/>
    <mergeCell ref="D3:D4"/>
    <mergeCell ref="E3:E4"/>
  </mergeCells>
  <phoneticPr fontId="2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D549-9CD5-4D37-B4D2-8EA57356D23D}">
  <dimension ref="B2:I10"/>
  <sheetViews>
    <sheetView workbookViewId="0">
      <selection activeCell="E21" sqref="E21"/>
    </sheetView>
  </sheetViews>
  <sheetFormatPr defaultColWidth="8.83203125" defaultRowHeight="18" x14ac:dyDescent="0.35"/>
  <cols>
    <col min="1" max="1" width="8.83203125" style="184"/>
    <col min="2" max="2" width="8.83203125" style="186"/>
    <col min="3" max="3" width="13.58203125" style="184" customWidth="1"/>
    <col min="4" max="4" width="11.83203125" style="184" customWidth="1"/>
    <col min="5" max="5" width="13.9140625" style="187" customWidth="1"/>
    <col min="6" max="8" width="13.9140625" style="184" customWidth="1"/>
    <col min="9" max="9" width="10.5" style="184" customWidth="1"/>
    <col min="10" max="16384" width="8.83203125" style="184"/>
  </cols>
  <sheetData>
    <row r="2" spans="2:9" ht="26.25" customHeight="1" x14ac:dyDescent="0.35">
      <c r="B2" s="220" t="s">
        <v>173</v>
      </c>
      <c r="C2" s="221"/>
      <c r="D2" s="221"/>
      <c r="E2" s="221"/>
      <c r="F2" s="221"/>
      <c r="G2" s="221"/>
      <c r="H2" s="221"/>
      <c r="I2" s="222"/>
    </row>
    <row r="3" spans="2:9" ht="18.75" customHeight="1" x14ac:dyDescent="0.35">
      <c r="B3" s="223" t="s">
        <v>1</v>
      </c>
      <c r="C3" s="224" t="s">
        <v>2</v>
      </c>
      <c r="D3" s="219" t="s">
        <v>174</v>
      </c>
      <c r="E3" s="218" t="s">
        <v>168</v>
      </c>
      <c r="F3" s="218"/>
      <c r="G3" s="218"/>
      <c r="H3" s="218"/>
      <c r="I3" s="219" t="s">
        <v>175</v>
      </c>
    </row>
    <row r="4" spans="2:9" ht="27.6" x14ac:dyDescent="0.35">
      <c r="B4" s="223"/>
      <c r="C4" s="224"/>
      <c r="D4" s="219"/>
      <c r="E4" s="94" t="s">
        <v>169</v>
      </c>
      <c r="F4" s="94" t="s">
        <v>170</v>
      </c>
      <c r="G4" s="94" t="s">
        <v>171</v>
      </c>
      <c r="H4" s="94" t="s">
        <v>172</v>
      </c>
      <c r="I4" s="219"/>
    </row>
    <row r="5" spans="2:9" x14ac:dyDescent="0.35">
      <c r="B5" s="21">
        <v>1</v>
      </c>
      <c r="C5" s="185" t="s">
        <v>153</v>
      </c>
      <c r="D5" s="151">
        <v>110000</v>
      </c>
      <c r="E5" s="38">
        <v>2500</v>
      </c>
      <c r="F5" s="38">
        <v>1500</v>
      </c>
      <c r="G5" s="38">
        <v>3000</v>
      </c>
      <c r="H5" s="38">
        <v>1000</v>
      </c>
      <c r="I5" s="38">
        <f>SUM(D5:H5)</f>
        <v>118000</v>
      </c>
    </row>
    <row r="6" spans="2:9" x14ac:dyDescent="0.35">
      <c r="B6" s="21">
        <v>2</v>
      </c>
      <c r="C6" s="185" t="s">
        <v>154</v>
      </c>
      <c r="D6" s="37">
        <v>130000</v>
      </c>
      <c r="E6" s="38">
        <v>2500</v>
      </c>
      <c r="F6" s="38">
        <v>1500</v>
      </c>
      <c r="G6" s="38">
        <v>3000</v>
      </c>
      <c r="H6" s="38">
        <v>1000</v>
      </c>
      <c r="I6" s="38">
        <f t="shared" ref="I6:I10" si="0">SUM(D6:H6)</f>
        <v>138000</v>
      </c>
    </row>
    <row r="7" spans="2:9" x14ac:dyDescent="0.35">
      <c r="B7" s="21">
        <v>3</v>
      </c>
      <c r="C7" s="185" t="s">
        <v>155</v>
      </c>
      <c r="D7" s="37">
        <v>5000</v>
      </c>
      <c r="E7" s="38">
        <v>0</v>
      </c>
      <c r="F7" s="38">
        <v>500</v>
      </c>
      <c r="G7" s="38">
        <v>3000</v>
      </c>
      <c r="H7" s="38">
        <v>1000</v>
      </c>
      <c r="I7" s="38">
        <f t="shared" si="0"/>
        <v>9500</v>
      </c>
    </row>
    <row r="8" spans="2:9" x14ac:dyDescent="0.35">
      <c r="B8" s="21">
        <v>4</v>
      </c>
      <c r="C8" s="185" t="s">
        <v>156</v>
      </c>
      <c r="D8" s="37">
        <v>10000</v>
      </c>
      <c r="E8" s="38">
        <v>1000</v>
      </c>
      <c r="F8" s="38">
        <v>500</v>
      </c>
      <c r="G8" s="38">
        <v>3000</v>
      </c>
      <c r="H8" s="38">
        <v>1000</v>
      </c>
      <c r="I8" s="38">
        <f t="shared" si="0"/>
        <v>15500</v>
      </c>
    </row>
    <row r="9" spans="2:9" x14ac:dyDescent="0.35">
      <c r="B9" s="21">
        <v>5</v>
      </c>
      <c r="C9" s="185" t="s">
        <v>157</v>
      </c>
      <c r="D9" s="37">
        <v>5000</v>
      </c>
      <c r="E9" s="38">
        <v>0</v>
      </c>
      <c r="F9" s="38">
        <v>500</v>
      </c>
      <c r="G9" s="38">
        <v>3000</v>
      </c>
      <c r="H9" s="38">
        <v>1000</v>
      </c>
      <c r="I9" s="38">
        <f t="shared" si="0"/>
        <v>9500</v>
      </c>
    </row>
    <row r="10" spans="2:9" x14ac:dyDescent="0.35">
      <c r="B10" s="21">
        <v>6</v>
      </c>
      <c r="C10" s="185" t="s">
        <v>158</v>
      </c>
      <c r="D10" s="37">
        <v>150000</v>
      </c>
      <c r="E10" s="38">
        <v>2500</v>
      </c>
      <c r="F10" s="38">
        <v>1500</v>
      </c>
      <c r="G10" s="38">
        <v>3000</v>
      </c>
      <c r="H10" s="38">
        <v>1000</v>
      </c>
      <c r="I10" s="38">
        <f t="shared" si="0"/>
        <v>158000</v>
      </c>
    </row>
  </sheetData>
  <mergeCells count="6">
    <mergeCell ref="E3:H3"/>
    <mergeCell ref="I3:I4"/>
    <mergeCell ref="B2:I2"/>
    <mergeCell ref="B3:B4"/>
    <mergeCell ref="C3:C4"/>
    <mergeCell ref="D3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57"/>
  <sheetViews>
    <sheetView workbookViewId="0">
      <selection activeCell="D20" sqref="D20"/>
    </sheetView>
  </sheetViews>
  <sheetFormatPr defaultColWidth="10.08203125" defaultRowHeight="17.399999999999999" x14ac:dyDescent="0.3"/>
  <cols>
    <col min="1" max="1" width="5.33203125" style="30" customWidth="1"/>
    <col min="2" max="2" width="3.08203125" style="30" customWidth="1"/>
    <col min="3" max="3" width="16.5" style="30" customWidth="1"/>
    <col min="4" max="4" width="14" style="30" customWidth="1"/>
    <col min="5" max="5" width="14" style="31" customWidth="1"/>
    <col min="6" max="6" width="11.1640625" style="30" customWidth="1"/>
    <col min="7" max="7" width="13.33203125" style="30" customWidth="1"/>
    <col min="8" max="13" width="4.33203125" style="30" customWidth="1"/>
    <col min="14" max="19" width="7.08203125" style="30" customWidth="1"/>
    <col min="20" max="16384" width="10.08203125" style="30"/>
  </cols>
  <sheetData>
    <row r="2" spans="2:20" ht="24.6" x14ac:dyDescent="0.3">
      <c r="B2" s="225" t="s">
        <v>133</v>
      </c>
      <c r="C2" s="226"/>
      <c r="D2" s="226"/>
      <c r="E2" s="226"/>
      <c r="F2" s="32"/>
      <c r="G2" s="32"/>
      <c r="H2" s="32"/>
      <c r="I2" s="32"/>
      <c r="J2" s="32"/>
      <c r="K2" s="32"/>
      <c r="L2" s="32"/>
      <c r="M2" s="32"/>
      <c r="N2" s="33"/>
      <c r="O2" s="33"/>
      <c r="P2" s="33"/>
      <c r="Q2" s="33"/>
      <c r="R2" s="33"/>
      <c r="S2" s="33"/>
      <c r="T2" s="33"/>
    </row>
    <row r="3" spans="2:20" x14ac:dyDescent="0.3">
      <c r="B3" s="18" t="s">
        <v>1</v>
      </c>
      <c r="C3" s="133" t="s">
        <v>2</v>
      </c>
      <c r="D3" s="183" t="s">
        <v>92</v>
      </c>
      <c r="E3" s="94" t="s">
        <v>93</v>
      </c>
      <c r="F3" s="34"/>
      <c r="G3" s="34"/>
      <c r="H3" s="32"/>
      <c r="I3" s="32"/>
      <c r="J3" s="32"/>
      <c r="K3" s="32"/>
      <c r="L3" s="32"/>
      <c r="M3" s="32"/>
      <c r="N3" s="33"/>
      <c r="O3" s="33"/>
      <c r="P3" s="33"/>
      <c r="Q3" s="33"/>
      <c r="R3" s="33"/>
      <c r="S3" s="33"/>
      <c r="T3" s="33"/>
    </row>
    <row r="4" spans="2:20" x14ac:dyDescent="0.3">
      <c r="B4" s="21">
        <v>1</v>
      </c>
      <c r="C4" s="134" t="s">
        <v>153</v>
      </c>
      <c r="D4" s="151">
        <v>250000</v>
      </c>
      <c r="E4" s="38">
        <f>BOM!I5</f>
        <v>118000</v>
      </c>
      <c r="F4" s="153"/>
      <c r="G4" s="32"/>
      <c r="H4" s="32"/>
      <c r="I4" s="32"/>
      <c r="J4" s="32"/>
      <c r="K4" s="32"/>
      <c r="L4" s="32"/>
      <c r="M4" s="32"/>
      <c r="N4" s="33"/>
      <c r="O4" s="33"/>
      <c r="P4" s="33"/>
      <c r="Q4" s="33"/>
      <c r="R4" s="33"/>
      <c r="S4" s="33"/>
      <c r="T4" s="33"/>
    </row>
    <row r="5" spans="2:20" x14ac:dyDescent="0.3">
      <c r="B5" s="21">
        <v>2</v>
      </c>
      <c r="C5" s="134" t="s">
        <v>184</v>
      </c>
      <c r="D5" s="37">
        <v>280000</v>
      </c>
      <c r="E5" s="38">
        <f>BOM!I6</f>
        <v>138000</v>
      </c>
      <c r="F5" s="60"/>
      <c r="G5" s="32"/>
      <c r="H5" s="32"/>
      <c r="I5" s="32"/>
      <c r="J5" s="32"/>
      <c r="K5" s="32"/>
      <c r="L5" s="32"/>
      <c r="M5" s="32"/>
      <c r="N5" s="33"/>
      <c r="O5" s="33"/>
      <c r="P5" s="33"/>
      <c r="Q5" s="33"/>
      <c r="R5" s="33"/>
      <c r="S5" s="33"/>
      <c r="T5" s="33"/>
    </row>
    <row r="6" spans="2:20" x14ac:dyDescent="0.3">
      <c r="B6" s="21">
        <v>3</v>
      </c>
      <c r="C6" s="134" t="s">
        <v>155</v>
      </c>
      <c r="D6" s="37">
        <v>15000</v>
      </c>
      <c r="E6" s="38">
        <f>BOM!I7</f>
        <v>9500</v>
      </c>
      <c r="F6" s="60"/>
      <c r="G6" s="32"/>
      <c r="H6" s="32"/>
      <c r="I6" s="32"/>
      <c r="J6" s="32"/>
      <c r="K6" s="32"/>
      <c r="L6" s="32"/>
      <c r="M6" s="32"/>
      <c r="N6" s="33"/>
      <c r="O6" s="33"/>
      <c r="P6" s="33"/>
      <c r="Q6" s="33"/>
      <c r="R6" s="33"/>
      <c r="S6" s="33"/>
      <c r="T6" s="33"/>
    </row>
    <row r="7" spans="2:20" x14ac:dyDescent="0.3">
      <c r="B7" s="21">
        <v>4</v>
      </c>
      <c r="C7" s="134" t="s">
        <v>156</v>
      </c>
      <c r="D7" s="37">
        <v>45000</v>
      </c>
      <c r="E7" s="38">
        <f>BOM!I8</f>
        <v>15500</v>
      </c>
      <c r="F7" s="60"/>
      <c r="G7" s="32"/>
      <c r="H7" s="32"/>
      <c r="I7" s="32"/>
      <c r="J7" s="32"/>
      <c r="K7" s="32"/>
      <c r="L7" s="32"/>
      <c r="M7" s="32"/>
      <c r="N7" s="33"/>
      <c r="O7" s="33"/>
      <c r="P7" s="33"/>
      <c r="Q7" s="33"/>
      <c r="R7" s="33"/>
      <c r="S7" s="33"/>
      <c r="T7" s="33"/>
    </row>
    <row r="8" spans="2:20" x14ac:dyDescent="0.3">
      <c r="B8" s="21">
        <v>5</v>
      </c>
      <c r="C8" s="134" t="s">
        <v>157</v>
      </c>
      <c r="D8" s="37">
        <v>20000</v>
      </c>
      <c r="E8" s="38">
        <f>BOM!I9</f>
        <v>9500</v>
      </c>
      <c r="F8" s="32"/>
      <c r="G8" s="32"/>
      <c r="H8" s="32"/>
      <c r="I8" s="32"/>
      <c r="J8" s="32"/>
      <c r="K8" s="32"/>
      <c r="L8" s="32"/>
      <c r="M8" s="32"/>
      <c r="N8" s="33"/>
      <c r="O8" s="33"/>
      <c r="P8" s="33"/>
      <c r="Q8" s="33"/>
      <c r="R8" s="33"/>
      <c r="S8" s="33"/>
      <c r="T8" s="33"/>
    </row>
    <row r="9" spans="2:20" x14ac:dyDescent="0.3">
      <c r="B9" s="21">
        <v>6</v>
      </c>
      <c r="C9" s="134" t="s">
        <v>158</v>
      </c>
      <c r="D9" s="37">
        <v>320000</v>
      </c>
      <c r="E9" s="38">
        <f>BOM!I10</f>
        <v>158000</v>
      </c>
      <c r="F9" s="32"/>
      <c r="G9" s="32"/>
      <c r="H9" s="32"/>
      <c r="I9" s="32"/>
      <c r="J9" s="32"/>
      <c r="K9" s="32"/>
      <c r="L9" s="32"/>
      <c r="M9" s="32"/>
      <c r="N9" s="33"/>
      <c r="O9" s="33"/>
      <c r="P9" s="33"/>
      <c r="Q9" s="33"/>
      <c r="R9" s="33"/>
      <c r="S9" s="33"/>
      <c r="T9" s="33"/>
    </row>
    <row r="10" spans="2:20" x14ac:dyDescent="0.3">
      <c r="B10" s="32"/>
      <c r="C10" s="32"/>
      <c r="D10" s="35"/>
      <c r="E10" s="36"/>
      <c r="F10" s="32"/>
      <c r="G10" s="32"/>
      <c r="H10" s="32"/>
      <c r="I10" s="32"/>
      <c r="J10" s="32"/>
      <c r="K10" s="32"/>
      <c r="L10" s="32"/>
      <c r="M10" s="32"/>
      <c r="N10" s="33"/>
      <c r="O10" s="33"/>
      <c r="P10" s="33"/>
      <c r="Q10" s="33"/>
      <c r="R10" s="33"/>
      <c r="S10" s="33"/>
      <c r="T10" s="33"/>
    </row>
    <row r="11" spans="2:20" x14ac:dyDescent="0.3">
      <c r="B11" s="32"/>
      <c r="C11" s="32"/>
      <c r="D11" s="35"/>
      <c r="E11" s="36"/>
      <c r="F11" s="32"/>
      <c r="G11" s="32"/>
      <c r="H11" s="32"/>
      <c r="I11" s="32"/>
      <c r="J11" s="32"/>
      <c r="K11" s="32"/>
      <c r="L11" s="32"/>
      <c r="M11" s="32"/>
      <c r="N11" s="33"/>
      <c r="O11" s="33"/>
      <c r="P11" s="33"/>
      <c r="Q11" s="33"/>
      <c r="R11" s="33"/>
      <c r="S11" s="33"/>
      <c r="T11" s="33"/>
    </row>
    <row r="12" spans="2:20" x14ac:dyDescent="0.3">
      <c r="B12" s="32"/>
      <c r="C12" s="32"/>
      <c r="D12" s="35"/>
      <c r="E12" s="36"/>
      <c r="F12" s="32"/>
      <c r="G12" s="32"/>
      <c r="H12" s="32"/>
      <c r="I12" s="32"/>
      <c r="J12" s="32"/>
      <c r="K12" s="32"/>
      <c r="L12" s="32"/>
      <c r="M12" s="32"/>
      <c r="N12" s="33"/>
      <c r="O12" s="33"/>
      <c r="P12" s="33"/>
      <c r="Q12" s="33"/>
      <c r="R12" s="33"/>
      <c r="S12" s="33"/>
      <c r="T12" s="33"/>
    </row>
    <row r="13" spans="2:20" x14ac:dyDescent="0.3">
      <c r="B13" s="32"/>
      <c r="C13" s="32"/>
      <c r="D13" s="35"/>
      <c r="E13" s="36"/>
      <c r="F13" s="32"/>
      <c r="G13" s="32"/>
      <c r="H13" s="32"/>
      <c r="I13" s="32"/>
      <c r="J13" s="32"/>
      <c r="K13" s="32"/>
      <c r="L13" s="32"/>
      <c r="M13" s="32"/>
      <c r="N13" s="33"/>
      <c r="O13" s="33"/>
      <c r="P13" s="33"/>
      <c r="Q13" s="33"/>
      <c r="R13" s="33"/>
      <c r="S13" s="33"/>
      <c r="T13" s="33"/>
    </row>
    <row r="14" spans="2:20" x14ac:dyDescent="0.3">
      <c r="B14" s="32"/>
      <c r="C14" s="32"/>
      <c r="D14" s="35"/>
      <c r="E14" s="36"/>
      <c r="F14" s="32"/>
      <c r="G14" s="32"/>
      <c r="H14" s="32"/>
      <c r="I14" s="32"/>
      <c r="J14" s="32"/>
      <c r="K14" s="32"/>
      <c r="L14" s="32"/>
      <c r="M14" s="32"/>
      <c r="N14" s="33"/>
      <c r="O14" s="33"/>
      <c r="P14" s="33"/>
      <c r="Q14" s="33"/>
      <c r="R14" s="33"/>
      <c r="S14" s="33"/>
      <c r="T14" s="33"/>
    </row>
    <row r="15" spans="2:20" x14ac:dyDescent="0.3">
      <c r="B15" s="32"/>
      <c r="C15" s="32"/>
      <c r="D15" s="35"/>
      <c r="E15" s="36"/>
      <c r="F15" s="32"/>
      <c r="G15" s="32"/>
      <c r="H15" s="32"/>
      <c r="I15" s="32"/>
      <c r="J15" s="32"/>
      <c r="K15" s="32"/>
      <c r="L15" s="32"/>
      <c r="M15" s="32"/>
      <c r="N15" s="33"/>
      <c r="O15" s="33"/>
      <c r="P15" s="33"/>
      <c r="Q15" s="33"/>
      <c r="R15" s="33"/>
      <c r="S15" s="33"/>
      <c r="T15" s="33"/>
    </row>
    <row r="16" spans="2:20" x14ac:dyDescent="0.3">
      <c r="B16" s="32"/>
      <c r="C16" s="32"/>
      <c r="D16" s="35"/>
      <c r="E16" s="36"/>
      <c r="F16" s="32"/>
      <c r="G16" s="32"/>
      <c r="H16" s="32"/>
      <c r="I16" s="32"/>
      <c r="J16" s="32"/>
      <c r="K16" s="32"/>
      <c r="L16" s="32"/>
      <c r="M16" s="32"/>
      <c r="N16" s="33"/>
      <c r="O16" s="33"/>
      <c r="P16" s="33"/>
      <c r="Q16" s="33"/>
      <c r="R16" s="33"/>
      <c r="S16" s="33"/>
      <c r="T16" s="33"/>
    </row>
    <row r="17" spans="2:20" x14ac:dyDescent="0.3">
      <c r="B17" s="32"/>
      <c r="C17" s="32"/>
      <c r="D17" s="35"/>
      <c r="E17" s="36"/>
      <c r="F17" s="32"/>
      <c r="G17" s="32"/>
      <c r="H17" s="32"/>
      <c r="I17" s="32"/>
      <c r="J17" s="32"/>
      <c r="K17" s="32"/>
      <c r="L17" s="32"/>
      <c r="M17" s="32"/>
      <c r="N17" s="33"/>
      <c r="O17" s="33"/>
      <c r="P17" s="33"/>
      <c r="Q17" s="33"/>
      <c r="R17" s="33"/>
      <c r="S17" s="33"/>
      <c r="T17" s="33"/>
    </row>
    <row r="18" spans="2:20" x14ac:dyDescent="0.3">
      <c r="B18" s="32"/>
      <c r="C18" s="32"/>
      <c r="D18" s="35"/>
      <c r="E18" s="36"/>
      <c r="F18" s="32"/>
      <c r="G18" s="32"/>
      <c r="H18" s="32"/>
      <c r="I18" s="32"/>
      <c r="J18" s="32"/>
      <c r="K18" s="32"/>
      <c r="L18" s="32"/>
      <c r="M18" s="32"/>
      <c r="N18" s="33"/>
      <c r="O18" s="33"/>
      <c r="P18" s="33"/>
      <c r="Q18" s="33"/>
      <c r="R18" s="33"/>
      <c r="S18" s="33"/>
      <c r="T18" s="33"/>
    </row>
    <row r="19" spans="2:20" x14ac:dyDescent="0.3">
      <c r="B19" s="32"/>
      <c r="C19" s="32"/>
      <c r="D19" s="35"/>
      <c r="E19" s="36"/>
      <c r="F19" s="32"/>
      <c r="G19" s="32"/>
      <c r="H19" s="32"/>
      <c r="I19" s="32"/>
      <c r="J19" s="32"/>
      <c r="K19" s="32"/>
      <c r="L19" s="32"/>
      <c r="M19" s="32"/>
      <c r="N19" s="33"/>
      <c r="O19" s="33"/>
      <c r="P19" s="33"/>
      <c r="Q19" s="33"/>
      <c r="R19" s="33"/>
      <c r="S19" s="33"/>
      <c r="T19" s="33"/>
    </row>
    <row r="20" spans="2:20" x14ac:dyDescent="0.3">
      <c r="B20" s="32"/>
      <c r="C20" s="32"/>
      <c r="D20" s="35"/>
      <c r="E20" s="36"/>
      <c r="F20" s="32"/>
      <c r="G20" s="32"/>
      <c r="H20" s="32"/>
      <c r="I20" s="32"/>
      <c r="J20" s="32"/>
      <c r="K20" s="32"/>
      <c r="L20" s="32"/>
      <c r="M20" s="32"/>
      <c r="N20" s="33"/>
      <c r="O20" s="33"/>
      <c r="P20" s="33"/>
      <c r="Q20" s="33"/>
      <c r="R20" s="33"/>
      <c r="S20" s="33"/>
      <c r="T20" s="33"/>
    </row>
    <row r="21" spans="2:20" x14ac:dyDescent="0.3">
      <c r="B21" s="32"/>
      <c r="C21" s="32"/>
      <c r="D21" s="35"/>
      <c r="E21" s="36"/>
      <c r="F21" s="32"/>
      <c r="G21" s="32"/>
      <c r="H21" s="32"/>
      <c r="I21" s="32"/>
      <c r="J21" s="32"/>
      <c r="K21" s="32"/>
      <c r="L21" s="32"/>
      <c r="M21" s="32"/>
      <c r="N21" s="33"/>
      <c r="O21" s="33"/>
      <c r="P21" s="33"/>
      <c r="Q21" s="33"/>
      <c r="R21" s="33"/>
      <c r="S21" s="33"/>
      <c r="T21" s="33"/>
    </row>
    <row r="22" spans="2:20" x14ac:dyDescent="0.3">
      <c r="B22" s="32"/>
      <c r="C22" s="32"/>
      <c r="D22" s="35"/>
      <c r="E22" s="36"/>
      <c r="F22" s="32"/>
      <c r="G22" s="32"/>
      <c r="H22" s="32"/>
      <c r="I22" s="32"/>
      <c r="J22" s="32"/>
      <c r="K22" s="32"/>
      <c r="L22" s="32"/>
      <c r="M22" s="32"/>
      <c r="N22" s="33"/>
      <c r="O22" s="33"/>
      <c r="P22" s="33"/>
      <c r="Q22" s="33"/>
      <c r="R22" s="33"/>
      <c r="S22" s="33"/>
      <c r="T22" s="33"/>
    </row>
    <row r="23" spans="2:20" x14ac:dyDescent="0.3">
      <c r="B23" s="32"/>
      <c r="C23" s="32"/>
      <c r="D23" s="35"/>
      <c r="E23" s="36"/>
      <c r="F23" s="32"/>
      <c r="G23" s="32"/>
      <c r="H23" s="32"/>
      <c r="I23" s="32"/>
      <c r="J23" s="32"/>
      <c r="K23" s="32"/>
      <c r="L23" s="32"/>
      <c r="M23" s="32"/>
      <c r="N23" s="33"/>
      <c r="O23" s="33"/>
      <c r="P23" s="33"/>
      <c r="Q23" s="33"/>
      <c r="R23" s="33"/>
      <c r="S23" s="33"/>
      <c r="T23" s="33"/>
    </row>
    <row r="24" spans="2:20" x14ac:dyDescent="0.3">
      <c r="B24" s="32"/>
      <c r="C24" s="32"/>
      <c r="D24" s="35"/>
      <c r="E24" s="36"/>
      <c r="F24" s="32"/>
      <c r="G24" s="32"/>
      <c r="H24" s="32"/>
      <c r="I24" s="32"/>
      <c r="J24" s="32"/>
      <c r="K24" s="32"/>
      <c r="L24" s="32"/>
      <c r="M24" s="32"/>
      <c r="N24" s="33"/>
      <c r="O24" s="33"/>
      <c r="P24" s="33"/>
      <c r="Q24" s="33"/>
      <c r="R24" s="33"/>
      <c r="S24" s="33"/>
      <c r="T24" s="33"/>
    </row>
    <row r="25" spans="2:20" x14ac:dyDescent="0.3">
      <c r="B25" s="32"/>
      <c r="C25" s="32"/>
      <c r="D25" s="35"/>
      <c r="E25" s="36"/>
      <c r="F25" s="32"/>
      <c r="G25" s="32"/>
      <c r="H25" s="32"/>
      <c r="I25" s="32"/>
      <c r="J25" s="32"/>
      <c r="K25" s="32"/>
      <c r="L25" s="32"/>
      <c r="M25" s="32"/>
      <c r="N25" s="33"/>
      <c r="O25" s="33"/>
      <c r="P25" s="33"/>
      <c r="Q25" s="33"/>
      <c r="R25" s="33"/>
      <c r="S25" s="33"/>
      <c r="T25" s="33"/>
    </row>
    <row r="26" spans="2:20" x14ac:dyDescent="0.3">
      <c r="B26" s="32"/>
      <c r="C26" s="32"/>
      <c r="D26" s="35"/>
      <c r="E26" s="36"/>
      <c r="F26" s="32"/>
      <c r="G26" s="32"/>
      <c r="H26" s="32"/>
      <c r="I26" s="32"/>
      <c r="J26" s="32"/>
      <c r="K26" s="32"/>
      <c r="L26" s="32"/>
      <c r="M26" s="32"/>
      <c r="N26" s="33"/>
      <c r="O26" s="33"/>
      <c r="P26" s="33"/>
      <c r="Q26" s="33"/>
      <c r="R26" s="33"/>
      <c r="S26" s="33"/>
      <c r="T26" s="33"/>
    </row>
    <row r="27" spans="2:20" x14ac:dyDescent="0.3">
      <c r="B27" s="32"/>
      <c r="C27" s="32"/>
      <c r="D27" s="35"/>
      <c r="E27" s="36"/>
      <c r="F27" s="32"/>
      <c r="G27" s="32"/>
      <c r="H27" s="32"/>
      <c r="I27" s="32"/>
      <c r="J27" s="32"/>
      <c r="K27" s="32"/>
      <c r="L27" s="32"/>
      <c r="M27" s="32"/>
      <c r="N27" s="33"/>
      <c r="O27" s="33"/>
      <c r="P27" s="33"/>
      <c r="Q27" s="33"/>
      <c r="R27" s="33"/>
      <c r="S27" s="33"/>
      <c r="T27" s="33"/>
    </row>
    <row r="28" spans="2:20" x14ac:dyDescent="0.3">
      <c r="B28" s="32"/>
      <c r="C28" s="32"/>
      <c r="D28" s="35"/>
      <c r="E28" s="36"/>
      <c r="F28" s="32"/>
      <c r="G28" s="32"/>
      <c r="H28" s="32"/>
      <c r="I28" s="32"/>
      <c r="J28" s="32"/>
      <c r="K28" s="32"/>
      <c r="L28" s="32"/>
      <c r="M28" s="32"/>
      <c r="N28" s="33"/>
      <c r="O28" s="33"/>
      <c r="P28" s="33"/>
      <c r="Q28" s="33"/>
      <c r="R28" s="33"/>
      <c r="S28" s="33"/>
      <c r="T28" s="33"/>
    </row>
    <row r="29" spans="2:20" x14ac:dyDescent="0.3">
      <c r="B29" s="32"/>
      <c r="C29" s="32"/>
      <c r="D29" s="35"/>
      <c r="E29" s="36"/>
      <c r="F29" s="32"/>
      <c r="G29" s="32"/>
      <c r="H29" s="32"/>
      <c r="I29" s="32"/>
      <c r="J29" s="32"/>
      <c r="K29" s="32"/>
      <c r="L29" s="32"/>
      <c r="M29" s="32"/>
      <c r="N29" s="33"/>
      <c r="O29" s="33"/>
      <c r="P29" s="33"/>
      <c r="Q29" s="33"/>
      <c r="R29" s="33"/>
      <c r="S29" s="33"/>
      <c r="T29" s="33"/>
    </row>
    <row r="30" spans="2:20" x14ac:dyDescent="0.3">
      <c r="B30" s="32"/>
      <c r="C30" s="32"/>
      <c r="D30" s="35"/>
      <c r="E30" s="36"/>
      <c r="F30" s="32"/>
      <c r="G30" s="32"/>
      <c r="H30" s="32"/>
      <c r="I30" s="32"/>
      <c r="J30" s="32"/>
      <c r="K30" s="32"/>
      <c r="L30" s="32"/>
      <c r="M30" s="32"/>
      <c r="N30" s="33"/>
      <c r="O30" s="33"/>
      <c r="P30" s="33"/>
      <c r="Q30" s="33"/>
      <c r="R30" s="33"/>
      <c r="S30" s="33"/>
      <c r="T30" s="33"/>
    </row>
    <row r="31" spans="2:20" x14ac:dyDescent="0.3">
      <c r="B31" s="32"/>
      <c r="C31" s="32"/>
      <c r="D31" s="35"/>
      <c r="E31" s="36"/>
      <c r="F31" s="32"/>
      <c r="G31" s="32"/>
      <c r="H31" s="32"/>
      <c r="I31" s="32"/>
      <c r="J31" s="32"/>
      <c r="K31" s="32"/>
      <c r="L31" s="32"/>
      <c r="M31" s="32"/>
      <c r="N31" s="33"/>
      <c r="O31" s="33"/>
      <c r="P31" s="33"/>
      <c r="Q31" s="33"/>
      <c r="R31" s="33"/>
      <c r="S31" s="33"/>
      <c r="T31" s="33"/>
    </row>
    <row r="32" spans="2:20" x14ac:dyDescent="0.3">
      <c r="B32" s="32"/>
      <c r="C32" s="32"/>
      <c r="D32" s="35"/>
      <c r="E32" s="36"/>
      <c r="F32" s="32"/>
      <c r="G32" s="32"/>
      <c r="H32" s="32"/>
      <c r="I32" s="32"/>
      <c r="J32" s="32"/>
      <c r="K32" s="32"/>
      <c r="L32" s="32"/>
      <c r="M32" s="32"/>
      <c r="N32" s="33"/>
      <c r="O32" s="33"/>
      <c r="P32" s="33"/>
      <c r="Q32" s="33"/>
      <c r="R32" s="33"/>
      <c r="S32" s="33"/>
      <c r="T32" s="33"/>
    </row>
    <row r="33" spans="2:20" x14ac:dyDescent="0.3">
      <c r="B33" s="32"/>
      <c r="C33" s="32"/>
      <c r="D33" s="35"/>
      <c r="E33" s="36"/>
      <c r="F33" s="32"/>
      <c r="G33" s="32"/>
      <c r="H33" s="32"/>
      <c r="I33" s="32"/>
      <c r="J33" s="32"/>
      <c r="K33" s="32"/>
      <c r="L33" s="32"/>
      <c r="M33" s="32"/>
      <c r="N33" s="33"/>
      <c r="O33" s="33"/>
      <c r="P33" s="33"/>
      <c r="Q33" s="33"/>
      <c r="R33" s="33"/>
      <c r="S33" s="33"/>
      <c r="T33" s="33"/>
    </row>
    <row r="34" spans="2:20" x14ac:dyDescent="0.3">
      <c r="B34" s="32"/>
      <c r="C34" s="32"/>
      <c r="D34" s="35"/>
      <c r="E34" s="36"/>
      <c r="F34" s="32"/>
      <c r="G34" s="32"/>
      <c r="H34" s="32"/>
      <c r="I34" s="32"/>
      <c r="J34" s="32"/>
      <c r="K34" s="32"/>
      <c r="L34" s="32"/>
      <c r="M34" s="32"/>
      <c r="N34" s="33"/>
      <c r="O34" s="33"/>
      <c r="P34" s="33"/>
      <c r="Q34" s="33"/>
      <c r="R34" s="33"/>
      <c r="S34" s="33"/>
      <c r="T34" s="33"/>
    </row>
    <row r="35" spans="2:20" x14ac:dyDescent="0.3">
      <c r="B35" s="32"/>
      <c r="C35" s="32"/>
      <c r="D35" s="35"/>
      <c r="E35" s="36"/>
      <c r="F35" s="32"/>
      <c r="G35" s="32"/>
      <c r="H35" s="32"/>
      <c r="I35" s="32"/>
      <c r="J35" s="32"/>
      <c r="K35" s="32"/>
      <c r="L35" s="32"/>
      <c r="M35" s="32"/>
      <c r="N35" s="33"/>
      <c r="O35" s="33"/>
      <c r="P35" s="33"/>
      <c r="Q35" s="33"/>
      <c r="R35" s="33"/>
      <c r="S35" s="33"/>
      <c r="T35" s="33"/>
    </row>
    <row r="36" spans="2:20" x14ac:dyDescent="0.3">
      <c r="B36" s="32"/>
      <c r="C36" s="32"/>
      <c r="D36" s="35"/>
      <c r="E36" s="36"/>
      <c r="F36" s="32"/>
      <c r="G36" s="32"/>
      <c r="H36" s="32"/>
      <c r="I36" s="32"/>
      <c r="J36" s="32"/>
      <c r="K36" s="32"/>
      <c r="L36" s="32"/>
      <c r="M36" s="32"/>
      <c r="N36" s="33"/>
      <c r="O36" s="33"/>
      <c r="P36" s="33"/>
      <c r="Q36" s="33"/>
      <c r="R36" s="33"/>
      <c r="S36" s="33"/>
      <c r="T36" s="33"/>
    </row>
    <row r="37" spans="2:20" x14ac:dyDescent="0.3">
      <c r="B37" s="32"/>
      <c r="C37" s="32"/>
      <c r="D37" s="35"/>
      <c r="E37" s="36"/>
      <c r="F37" s="32"/>
      <c r="G37" s="32"/>
      <c r="H37" s="32"/>
      <c r="I37" s="32"/>
      <c r="J37" s="32"/>
      <c r="K37" s="32"/>
      <c r="L37" s="32"/>
      <c r="M37" s="32"/>
      <c r="N37" s="33"/>
      <c r="O37" s="33"/>
      <c r="P37" s="33"/>
      <c r="Q37" s="33"/>
      <c r="R37" s="33"/>
      <c r="S37" s="33"/>
      <c r="T37" s="33"/>
    </row>
    <row r="38" spans="2:20" x14ac:dyDescent="0.3">
      <c r="B38" s="32"/>
      <c r="C38" s="32"/>
      <c r="D38" s="35"/>
      <c r="E38" s="36"/>
      <c r="F38" s="32"/>
      <c r="G38" s="32"/>
      <c r="H38" s="32"/>
      <c r="I38" s="32"/>
      <c r="J38" s="32"/>
      <c r="K38" s="32"/>
      <c r="L38" s="32"/>
      <c r="M38" s="32"/>
      <c r="N38" s="33"/>
      <c r="O38" s="33"/>
      <c r="P38" s="33"/>
      <c r="Q38" s="33"/>
      <c r="R38" s="33"/>
      <c r="S38" s="33"/>
      <c r="T38" s="33"/>
    </row>
    <row r="39" spans="2:20" x14ac:dyDescent="0.3">
      <c r="B39" s="32"/>
      <c r="C39" s="32"/>
      <c r="D39" s="35"/>
      <c r="E39" s="36"/>
      <c r="F39" s="32"/>
      <c r="G39" s="32"/>
      <c r="H39" s="32"/>
      <c r="I39" s="32"/>
      <c r="J39" s="32"/>
      <c r="K39" s="32"/>
      <c r="L39" s="32"/>
      <c r="M39" s="32"/>
      <c r="N39" s="33"/>
      <c r="O39" s="33"/>
      <c r="P39" s="33"/>
      <c r="Q39" s="33"/>
      <c r="R39" s="33"/>
      <c r="S39" s="33"/>
      <c r="T39" s="33"/>
    </row>
    <row r="40" spans="2:20" x14ac:dyDescent="0.3">
      <c r="B40" s="32"/>
      <c r="C40" s="32"/>
      <c r="D40" s="35"/>
      <c r="E40" s="36"/>
      <c r="F40" s="32"/>
      <c r="G40" s="32"/>
      <c r="H40" s="32"/>
      <c r="I40" s="32"/>
      <c r="J40" s="32"/>
      <c r="K40" s="32"/>
      <c r="L40" s="32"/>
      <c r="M40" s="32"/>
      <c r="N40" s="33"/>
      <c r="O40" s="33"/>
      <c r="P40" s="33"/>
      <c r="Q40" s="33"/>
      <c r="R40" s="33"/>
      <c r="S40" s="33"/>
      <c r="T40" s="33"/>
    </row>
    <row r="41" spans="2:20" x14ac:dyDescent="0.3">
      <c r="B41" s="32"/>
      <c r="C41" s="32"/>
      <c r="D41" s="35"/>
      <c r="E41" s="36"/>
      <c r="F41" s="32"/>
      <c r="G41" s="32"/>
      <c r="H41" s="32"/>
      <c r="I41" s="32"/>
      <c r="J41" s="32"/>
      <c r="K41" s="32"/>
      <c r="L41" s="32"/>
      <c r="M41" s="32"/>
      <c r="N41" s="33"/>
      <c r="O41" s="33"/>
      <c r="P41" s="33"/>
      <c r="Q41" s="33"/>
      <c r="R41" s="33"/>
      <c r="S41" s="33"/>
      <c r="T41" s="33"/>
    </row>
    <row r="42" spans="2:20" x14ac:dyDescent="0.3">
      <c r="B42" s="32"/>
      <c r="C42" s="32"/>
      <c r="D42" s="35"/>
      <c r="E42" s="36"/>
      <c r="F42" s="32"/>
      <c r="G42" s="32"/>
      <c r="H42" s="32"/>
      <c r="I42" s="32"/>
      <c r="J42" s="32"/>
      <c r="K42" s="32"/>
      <c r="L42" s="32"/>
      <c r="M42" s="32"/>
      <c r="N42" s="33"/>
      <c r="O42" s="33"/>
      <c r="P42" s="33"/>
      <c r="Q42" s="33"/>
      <c r="R42" s="33"/>
      <c r="S42" s="33"/>
      <c r="T42" s="33"/>
    </row>
    <row r="43" spans="2:20" x14ac:dyDescent="0.3">
      <c r="B43" s="32"/>
      <c r="C43" s="32"/>
      <c r="D43" s="35"/>
      <c r="E43" s="36"/>
      <c r="F43" s="32"/>
      <c r="G43" s="32"/>
      <c r="H43" s="32"/>
      <c r="I43" s="32"/>
      <c r="J43" s="32"/>
      <c r="K43" s="32"/>
      <c r="L43" s="32"/>
      <c r="M43" s="32"/>
      <c r="N43" s="33"/>
      <c r="O43" s="33"/>
      <c r="P43" s="33"/>
      <c r="Q43" s="33"/>
      <c r="R43" s="33"/>
      <c r="S43" s="33"/>
      <c r="T43" s="33"/>
    </row>
    <row r="44" spans="2:20" x14ac:dyDescent="0.3">
      <c r="B44" s="32"/>
      <c r="C44" s="32"/>
      <c r="D44" s="35"/>
      <c r="E44" s="36"/>
      <c r="F44" s="32"/>
      <c r="G44" s="32"/>
      <c r="H44" s="32"/>
      <c r="I44" s="32"/>
      <c r="J44" s="32"/>
      <c r="K44" s="32"/>
      <c r="L44" s="32"/>
      <c r="M44" s="32"/>
      <c r="N44" s="33"/>
      <c r="O44" s="33"/>
      <c r="P44" s="33"/>
      <c r="Q44" s="33"/>
      <c r="R44" s="33"/>
      <c r="S44" s="33"/>
      <c r="T44" s="33"/>
    </row>
    <row r="45" spans="2:20" x14ac:dyDescent="0.3">
      <c r="B45" s="32"/>
      <c r="C45" s="32"/>
      <c r="D45" s="35"/>
      <c r="E45" s="36"/>
      <c r="F45" s="32"/>
      <c r="G45" s="32"/>
      <c r="H45" s="32"/>
      <c r="I45" s="32"/>
      <c r="J45" s="32"/>
      <c r="K45" s="32"/>
      <c r="L45" s="32"/>
      <c r="M45" s="32"/>
      <c r="N45" s="33"/>
      <c r="O45" s="33"/>
      <c r="P45" s="33"/>
      <c r="Q45" s="33"/>
      <c r="R45" s="33"/>
      <c r="S45" s="33"/>
      <c r="T45" s="33"/>
    </row>
    <row r="46" spans="2:20" x14ac:dyDescent="0.3">
      <c r="B46" s="32"/>
      <c r="C46" s="32"/>
      <c r="D46" s="35"/>
      <c r="E46" s="36"/>
      <c r="F46" s="32"/>
      <c r="G46" s="32"/>
      <c r="H46" s="32"/>
      <c r="I46" s="32"/>
      <c r="J46" s="32"/>
      <c r="K46" s="32"/>
      <c r="L46" s="32"/>
      <c r="M46" s="32"/>
      <c r="N46" s="33"/>
      <c r="O46" s="33"/>
      <c r="P46" s="33"/>
      <c r="Q46" s="33"/>
      <c r="R46" s="33"/>
      <c r="S46" s="33"/>
      <c r="T46" s="33"/>
    </row>
    <row r="47" spans="2:20" x14ac:dyDescent="0.3">
      <c r="B47" s="32"/>
      <c r="C47" s="32"/>
      <c r="D47" s="35"/>
      <c r="E47" s="36"/>
      <c r="F47" s="32"/>
      <c r="G47" s="32"/>
      <c r="H47" s="32"/>
      <c r="I47" s="32"/>
      <c r="J47" s="32"/>
      <c r="K47" s="32"/>
      <c r="L47" s="32"/>
      <c r="M47" s="32"/>
      <c r="N47" s="33"/>
      <c r="O47" s="33"/>
      <c r="P47" s="33"/>
      <c r="Q47" s="33"/>
      <c r="R47" s="33"/>
      <c r="S47" s="33"/>
      <c r="T47" s="33"/>
    </row>
    <row r="48" spans="2:20" x14ac:dyDescent="0.3">
      <c r="B48" s="32"/>
      <c r="C48" s="32"/>
      <c r="D48" s="35"/>
      <c r="E48" s="36"/>
      <c r="F48" s="32"/>
      <c r="G48" s="32"/>
      <c r="H48" s="32"/>
      <c r="I48" s="32"/>
      <c r="J48" s="32"/>
      <c r="K48" s="32"/>
      <c r="L48" s="32"/>
      <c r="M48" s="32"/>
      <c r="N48" s="33"/>
      <c r="O48" s="33"/>
      <c r="P48" s="33"/>
      <c r="Q48" s="33"/>
      <c r="R48" s="33"/>
      <c r="S48" s="33"/>
      <c r="T48" s="33"/>
    </row>
    <row r="49" spans="2:20" x14ac:dyDescent="0.3">
      <c r="B49" s="32"/>
      <c r="C49" s="32"/>
      <c r="D49" s="35"/>
      <c r="E49" s="36"/>
      <c r="F49" s="32"/>
      <c r="G49" s="32"/>
      <c r="H49" s="32"/>
      <c r="I49" s="32"/>
      <c r="J49" s="32"/>
      <c r="K49" s="32"/>
      <c r="L49" s="32"/>
      <c r="M49" s="32"/>
      <c r="N49" s="33"/>
      <c r="O49" s="33"/>
      <c r="P49" s="33"/>
      <c r="Q49" s="33"/>
      <c r="R49" s="33"/>
      <c r="S49" s="33"/>
      <c r="T49" s="33"/>
    </row>
    <row r="50" spans="2:20" x14ac:dyDescent="0.3">
      <c r="B50" s="32"/>
      <c r="C50" s="32"/>
      <c r="D50" s="35"/>
      <c r="E50" s="36"/>
      <c r="F50" s="32"/>
      <c r="G50" s="32"/>
      <c r="H50" s="32"/>
      <c r="I50" s="32"/>
      <c r="J50" s="32"/>
      <c r="K50" s="32"/>
      <c r="L50" s="32"/>
      <c r="M50" s="32"/>
      <c r="N50" s="33"/>
      <c r="O50" s="33"/>
      <c r="P50" s="33"/>
      <c r="Q50" s="33"/>
      <c r="R50" s="33"/>
      <c r="S50" s="33"/>
      <c r="T50" s="33"/>
    </row>
    <row r="51" spans="2:20" x14ac:dyDescent="0.3">
      <c r="B51" s="32"/>
      <c r="C51" s="32"/>
      <c r="D51" s="35"/>
      <c r="E51" s="36"/>
      <c r="F51" s="32"/>
      <c r="G51" s="32"/>
      <c r="H51" s="32"/>
      <c r="I51" s="32"/>
      <c r="J51" s="32"/>
      <c r="K51" s="32"/>
      <c r="L51" s="32"/>
      <c r="M51" s="32"/>
      <c r="N51" s="33"/>
      <c r="O51" s="33"/>
      <c r="P51" s="33"/>
      <c r="Q51" s="33"/>
      <c r="R51" s="33"/>
      <c r="S51" s="33"/>
      <c r="T51" s="33"/>
    </row>
    <row r="52" spans="2:20" x14ac:dyDescent="0.3">
      <c r="B52" s="32"/>
      <c r="C52" s="32"/>
      <c r="D52" s="35"/>
      <c r="E52" s="36"/>
      <c r="F52" s="32"/>
      <c r="G52" s="32"/>
      <c r="H52" s="32"/>
      <c r="I52" s="32"/>
      <c r="J52" s="32"/>
      <c r="K52" s="32"/>
      <c r="L52" s="32"/>
      <c r="M52" s="32"/>
      <c r="N52" s="33"/>
      <c r="O52" s="33"/>
      <c r="P52" s="33"/>
      <c r="Q52" s="33"/>
      <c r="R52" s="33"/>
      <c r="S52" s="33"/>
      <c r="T52" s="33"/>
    </row>
    <row r="53" spans="2:20" x14ac:dyDescent="0.3">
      <c r="B53" s="32"/>
      <c r="C53" s="32"/>
      <c r="D53" s="35"/>
      <c r="E53" s="36"/>
      <c r="F53" s="32"/>
      <c r="G53" s="32"/>
      <c r="H53" s="32"/>
      <c r="I53" s="32"/>
      <c r="J53" s="32"/>
      <c r="K53" s="32"/>
      <c r="L53" s="32"/>
      <c r="M53" s="32"/>
      <c r="N53" s="33"/>
      <c r="O53" s="33"/>
      <c r="P53" s="33"/>
      <c r="Q53" s="33"/>
      <c r="R53" s="33"/>
      <c r="S53" s="33"/>
      <c r="T53" s="33"/>
    </row>
    <row r="54" spans="2:20" x14ac:dyDescent="0.3">
      <c r="B54" s="32"/>
      <c r="C54" s="32"/>
      <c r="D54" s="35"/>
      <c r="E54" s="36"/>
      <c r="F54" s="32"/>
      <c r="G54" s="32"/>
      <c r="H54" s="32"/>
      <c r="I54" s="32"/>
      <c r="J54" s="32"/>
      <c r="K54" s="32"/>
      <c r="L54" s="32"/>
      <c r="M54" s="32"/>
      <c r="N54" s="33"/>
      <c r="O54" s="33"/>
      <c r="P54" s="33"/>
      <c r="Q54" s="33"/>
      <c r="R54" s="33"/>
      <c r="S54" s="33"/>
      <c r="T54" s="33"/>
    </row>
    <row r="55" spans="2:20" x14ac:dyDescent="0.3">
      <c r="B55" s="32"/>
      <c r="C55" s="32"/>
      <c r="D55" s="35"/>
      <c r="E55" s="36"/>
      <c r="F55" s="32"/>
      <c r="G55" s="32"/>
      <c r="H55" s="32"/>
      <c r="I55" s="32"/>
      <c r="J55" s="32"/>
      <c r="K55" s="32"/>
      <c r="L55" s="32"/>
      <c r="M55" s="32"/>
      <c r="N55" s="33"/>
      <c r="O55" s="33"/>
      <c r="P55" s="33"/>
      <c r="Q55" s="33"/>
      <c r="R55" s="33"/>
      <c r="S55" s="33"/>
      <c r="T55" s="33"/>
    </row>
    <row r="56" spans="2:20" x14ac:dyDescent="0.3">
      <c r="B56" s="32"/>
      <c r="C56" s="32"/>
      <c r="D56" s="35"/>
      <c r="E56" s="36"/>
      <c r="F56" s="32"/>
      <c r="G56" s="32"/>
      <c r="H56" s="32"/>
      <c r="I56" s="32"/>
      <c r="J56" s="32"/>
      <c r="K56" s="32"/>
      <c r="L56" s="32"/>
      <c r="M56" s="32"/>
      <c r="N56" s="33"/>
      <c r="O56" s="33"/>
      <c r="P56" s="33"/>
      <c r="Q56" s="33"/>
      <c r="R56" s="33"/>
      <c r="S56" s="33"/>
      <c r="T56" s="33"/>
    </row>
    <row r="57" spans="2:20" x14ac:dyDescent="0.3">
      <c r="B57" s="32"/>
      <c r="C57" s="32"/>
      <c r="D57" s="35"/>
      <c r="E57" s="36"/>
      <c r="F57" s="32"/>
      <c r="G57" s="32"/>
      <c r="H57" s="32"/>
      <c r="I57" s="32"/>
      <c r="J57" s="32"/>
      <c r="K57" s="32"/>
      <c r="L57" s="32"/>
      <c r="M57" s="32"/>
      <c r="N57" s="33"/>
      <c r="O57" s="33"/>
      <c r="P57" s="33"/>
      <c r="Q57" s="33"/>
      <c r="R57" s="33"/>
      <c r="S57" s="33"/>
      <c r="T57" s="33"/>
    </row>
    <row r="58" spans="2:20" x14ac:dyDescent="0.3">
      <c r="B58" s="32"/>
      <c r="C58" s="32"/>
      <c r="D58" s="35"/>
      <c r="E58" s="36"/>
      <c r="F58" s="32"/>
      <c r="G58" s="32"/>
      <c r="H58" s="32"/>
      <c r="I58" s="32"/>
      <c r="J58" s="32"/>
      <c r="K58" s="32"/>
      <c r="L58" s="32"/>
      <c r="M58" s="32"/>
      <c r="N58" s="33"/>
      <c r="O58" s="33"/>
      <c r="P58" s="33"/>
      <c r="Q58" s="33"/>
      <c r="R58" s="33"/>
      <c r="S58" s="33"/>
      <c r="T58" s="33"/>
    </row>
    <row r="59" spans="2:20" x14ac:dyDescent="0.3">
      <c r="B59" s="32"/>
      <c r="C59" s="32"/>
      <c r="D59" s="35"/>
      <c r="E59" s="36"/>
      <c r="F59" s="32"/>
      <c r="G59" s="32"/>
      <c r="H59" s="32"/>
      <c r="I59" s="32"/>
      <c r="J59" s="32"/>
      <c r="K59" s="32"/>
      <c r="L59" s="32"/>
      <c r="M59" s="32"/>
      <c r="N59" s="33"/>
      <c r="O59" s="33"/>
      <c r="P59" s="33"/>
      <c r="Q59" s="33"/>
      <c r="R59" s="33"/>
      <c r="S59" s="33"/>
      <c r="T59" s="33"/>
    </row>
    <row r="60" spans="2:20" x14ac:dyDescent="0.3">
      <c r="B60" s="32"/>
      <c r="C60" s="32"/>
      <c r="D60" s="35"/>
      <c r="E60" s="36"/>
      <c r="F60" s="32"/>
      <c r="G60" s="32"/>
      <c r="H60" s="32"/>
      <c r="I60" s="32"/>
      <c r="J60" s="32"/>
      <c r="K60" s="32"/>
      <c r="L60" s="32"/>
      <c r="M60" s="32"/>
      <c r="N60" s="33"/>
      <c r="O60" s="33"/>
      <c r="P60" s="33"/>
      <c r="Q60" s="33"/>
      <c r="R60" s="33"/>
      <c r="S60" s="33"/>
      <c r="T60" s="33"/>
    </row>
    <row r="61" spans="2:20" x14ac:dyDescent="0.3">
      <c r="B61" s="32"/>
      <c r="C61" s="32"/>
      <c r="D61" s="35"/>
      <c r="E61" s="36"/>
      <c r="F61" s="32"/>
      <c r="G61" s="32"/>
      <c r="H61" s="32"/>
      <c r="I61" s="32"/>
      <c r="J61" s="32"/>
      <c r="K61" s="32"/>
      <c r="L61" s="32"/>
      <c r="M61" s="32"/>
      <c r="N61" s="33"/>
      <c r="O61" s="33"/>
      <c r="P61" s="33"/>
      <c r="Q61" s="33"/>
      <c r="R61" s="33"/>
      <c r="S61" s="33"/>
      <c r="T61" s="33"/>
    </row>
    <row r="62" spans="2:20" x14ac:dyDescent="0.3">
      <c r="B62" s="32"/>
      <c r="C62" s="32"/>
      <c r="D62" s="35"/>
      <c r="E62" s="36"/>
      <c r="F62" s="32"/>
      <c r="G62" s="32"/>
      <c r="H62" s="32"/>
      <c r="I62" s="32"/>
      <c r="J62" s="32"/>
      <c r="K62" s="32"/>
      <c r="L62" s="32"/>
      <c r="M62" s="32"/>
      <c r="N62" s="33"/>
      <c r="O62" s="33"/>
      <c r="P62" s="33"/>
      <c r="Q62" s="33"/>
      <c r="R62" s="33"/>
      <c r="S62" s="33"/>
      <c r="T62" s="33"/>
    </row>
    <row r="63" spans="2:20" x14ac:dyDescent="0.3">
      <c r="B63" s="32"/>
      <c r="C63" s="32"/>
      <c r="D63" s="35"/>
      <c r="E63" s="36"/>
      <c r="F63" s="32"/>
      <c r="G63" s="32"/>
      <c r="H63" s="32"/>
      <c r="I63" s="32"/>
      <c r="J63" s="32"/>
      <c r="K63" s="32"/>
      <c r="L63" s="32"/>
      <c r="M63" s="32"/>
      <c r="N63" s="33"/>
      <c r="O63" s="33"/>
      <c r="P63" s="33"/>
      <c r="Q63" s="33"/>
      <c r="R63" s="33"/>
      <c r="S63" s="33"/>
      <c r="T63" s="33"/>
    </row>
    <row r="64" spans="2:20" x14ac:dyDescent="0.3">
      <c r="B64" s="32"/>
      <c r="C64" s="32"/>
      <c r="D64" s="35"/>
      <c r="E64" s="36"/>
      <c r="F64" s="32"/>
      <c r="G64" s="32"/>
      <c r="H64" s="32"/>
      <c r="I64" s="32"/>
      <c r="J64" s="32"/>
      <c r="K64" s="32"/>
      <c r="L64" s="32"/>
      <c r="M64" s="32"/>
      <c r="N64" s="33"/>
      <c r="O64" s="33"/>
      <c r="P64" s="33"/>
      <c r="Q64" s="33"/>
      <c r="R64" s="33"/>
      <c r="S64" s="33"/>
      <c r="T64" s="33"/>
    </row>
    <row r="65" spans="2:20" x14ac:dyDescent="0.3">
      <c r="B65" s="32"/>
      <c r="C65" s="32"/>
      <c r="D65" s="35"/>
      <c r="E65" s="36"/>
      <c r="F65" s="32"/>
      <c r="G65" s="32"/>
      <c r="H65" s="32"/>
      <c r="I65" s="32"/>
      <c r="J65" s="32"/>
      <c r="K65" s="32"/>
      <c r="L65" s="32"/>
      <c r="M65" s="32"/>
      <c r="N65" s="33"/>
      <c r="O65" s="33"/>
      <c r="P65" s="33"/>
      <c r="Q65" s="33"/>
      <c r="R65" s="33"/>
      <c r="S65" s="33"/>
      <c r="T65" s="33"/>
    </row>
    <row r="66" spans="2:20" x14ac:dyDescent="0.3">
      <c r="B66" s="32"/>
      <c r="C66" s="32"/>
      <c r="D66" s="35"/>
      <c r="E66" s="36"/>
      <c r="F66" s="32"/>
      <c r="G66" s="32"/>
      <c r="H66" s="32"/>
      <c r="I66" s="32"/>
      <c r="J66" s="32"/>
      <c r="K66" s="32"/>
      <c r="L66" s="32"/>
      <c r="M66" s="32"/>
      <c r="N66" s="33"/>
      <c r="O66" s="33"/>
      <c r="P66" s="33"/>
      <c r="Q66" s="33"/>
      <c r="R66" s="33"/>
      <c r="S66" s="33"/>
      <c r="T66" s="33"/>
    </row>
    <row r="67" spans="2:20" x14ac:dyDescent="0.3">
      <c r="B67" s="32"/>
      <c r="C67" s="32"/>
      <c r="D67" s="35"/>
      <c r="E67" s="36"/>
      <c r="F67" s="32"/>
      <c r="G67" s="32"/>
      <c r="H67" s="32"/>
      <c r="I67" s="32"/>
      <c r="J67" s="32"/>
      <c r="K67" s="32"/>
      <c r="L67" s="32"/>
      <c r="M67" s="32"/>
      <c r="N67" s="33"/>
      <c r="O67" s="33"/>
      <c r="P67" s="33"/>
      <c r="Q67" s="33"/>
      <c r="R67" s="33"/>
      <c r="S67" s="33"/>
      <c r="T67" s="33"/>
    </row>
    <row r="68" spans="2:20" x14ac:dyDescent="0.3">
      <c r="B68" s="32"/>
      <c r="C68" s="32"/>
      <c r="D68" s="35"/>
      <c r="E68" s="36"/>
      <c r="F68" s="32"/>
      <c r="G68" s="32"/>
      <c r="H68" s="32"/>
      <c r="I68" s="32"/>
      <c r="J68" s="32"/>
      <c r="K68" s="32"/>
      <c r="L68" s="32"/>
      <c r="M68" s="32"/>
      <c r="N68" s="33"/>
      <c r="O68" s="33"/>
      <c r="P68" s="33"/>
      <c r="Q68" s="33"/>
      <c r="R68" s="33"/>
      <c r="S68" s="33"/>
      <c r="T68" s="33"/>
    </row>
    <row r="69" spans="2:20" x14ac:dyDescent="0.3">
      <c r="B69" s="32"/>
      <c r="C69" s="32"/>
      <c r="D69" s="35"/>
      <c r="E69" s="36"/>
      <c r="F69" s="32"/>
      <c r="G69" s="32"/>
      <c r="H69" s="32"/>
      <c r="I69" s="32"/>
      <c r="J69" s="32"/>
      <c r="K69" s="32"/>
      <c r="L69" s="32"/>
      <c r="M69" s="32"/>
      <c r="N69" s="33"/>
      <c r="O69" s="33"/>
      <c r="P69" s="33"/>
      <c r="Q69" s="33"/>
      <c r="R69" s="33"/>
      <c r="S69" s="33"/>
      <c r="T69" s="33"/>
    </row>
    <row r="70" spans="2:20" x14ac:dyDescent="0.3">
      <c r="B70" s="32"/>
      <c r="C70" s="32"/>
      <c r="D70" s="35"/>
      <c r="E70" s="36"/>
      <c r="F70" s="32"/>
      <c r="G70" s="32"/>
      <c r="H70" s="32"/>
      <c r="I70" s="32"/>
      <c r="J70" s="32"/>
      <c r="K70" s="32"/>
      <c r="L70" s="32"/>
      <c r="M70" s="32"/>
      <c r="N70" s="33"/>
      <c r="O70" s="33"/>
      <c r="P70" s="33"/>
      <c r="Q70" s="33"/>
      <c r="R70" s="33"/>
      <c r="S70" s="33"/>
      <c r="T70" s="33"/>
    </row>
    <row r="71" spans="2:20" x14ac:dyDescent="0.3">
      <c r="B71" s="32"/>
      <c r="C71" s="32"/>
      <c r="D71" s="35"/>
      <c r="E71" s="36"/>
      <c r="F71" s="32"/>
      <c r="G71" s="32"/>
      <c r="H71" s="32"/>
      <c r="I71" s="32"/>
      <c r="J71" s="32"/>
      <c r="K71" s="32"/>
      <c r="L71" s="32"/>
      <c r="M71" s="32"/>
      <c r="N71" s="33"/>
      <c r="O71" s="33"/>
      <c r="P71" s="33"/>
      <c r="Q71" s="33"/>
      <c r="R71" s="33"/>
      <c r="S71" s="33"/>
      <c r="T71" s="33"/>
    </row>
    <row r="72" spans="2:20" x14ac:dyDescent="0.3">
      <c r="B72" s="32"/>
      <c r="C72" s="32"/>
      <c r="D72" s="35"/>
      <c r="E72" s="36"/>
      <c r="F72" s="32"/>
      <c r="G72" s="32"/>
      <c r="H72" s="32"/>
      <c r="I72" s="32"/>
      <c r="J72" s="32"/>
      <c r="K72" s="32"/>
      <c r="L72" s="32"/>
      <c r="M72" s="32"/>
      <c r="N72" s="33"/>
      <c r="O72" s="33"/>
      <c r="P72" s="33"/>
      <c r="Q72" s="33"/>
      <c r="R72" s="33"/>
      <c r="S72" s="33"/>
      <c r="T72" s="33"/>
    </row>
    <row r="73" spans="2:20" x14ac:dyDescent="0.3">
      <c r="B73" s="32"/>
      <c r="C73" s="32"/>
      <c r="D73" s="35"/>
      <c r="E73" s="36"/>
      <c r="F73" s="32"/>
      <c r="G73" s="32"/>
      <c r="H73" s="32"/>
      <c r="I73" s="32"/>
      <c r="J73" s="32"/>
      <c r="K73" s="32"/>
      <c r="L73" s="32"/>
      <c r="M73" s="32"/>
      <c r="N73" s="33"/>
      <c r="O73" s="33"/>
      <c r="P73" s="33"/>
      <c r="Q73" s="33"/>
      <c r="R73" s="33"/>
      <c r="S73" s="33"/>
      <c r="T73" s="33"/>
    </row>
    <row r="74" spans="2:20" x14ac:dyDescent="0.3">
      <c r="B74" s="32"/>
      <c r="C74" s="32"/>
      <c r="D74" s="35"/>
      <c r="E74" s="36"/>
      <c r="F74" s="32"/>
      <c r="G74" s="32"/>
      <c r="H74" s="32"/>
      <c r="I74" s="32"/>
      <c r="J74" s="32"/>
      <c r="K74" s="32"/>
      <c r="L74" s="32"/>
      <c r="M74" s="32"/>
      <c r="N74" s="33"/>
      <c r="O74" s="33"/>
      <c r="P74" s="33"/>
      <c r="Q74" s="33"/>
      <c r="R74" s="33"/>
      <c r="S74" s="33"/>
      <c r="T74" s="33"/>
    </row>
    <row r="75" spans="2:20" x14ac:dyDescent="0.3">
      <c r="B75" s="32"/>
      <c r="C75" s="32"/>
      <c r="D75" s="35"/>
      <c r="E75" s="36"/>
      <c r="F75" s="32"/>
      <c r="G75" s="32"/>
      <c r="H75" s="32"/>
      <c r="I75" s="32"/>
      <c r="J75" s="32"/>
      <c r="K75" s="32"/>
      <c r="L75" s="32"/>
      <c r="M75" s="32"/>
      <c r="N75" s="33"/>
      <c r="O75" s="33"/>
      <c r="P75" s="33"/>
      <c r="Q75" s="33"/>
      <c r="R75" s="33"/>
      <c r="S75" s="33"/>
      <c r="T75" s="33"/>
    </row>
    <row r="76" spans="2:20" x14ac:dyDescent="0.3">
      <c r="B76" s="32"/>
      <c r="C76" s="32"/>
      <c r="D76" s="35"/>
      <c r="E76" s="36"/>
      <c r="F76" s="32"/>
      <c r="G76" s="32"/>
      <c r="H76" s="32"/>
      <c r="I76" s="32"/>
      <c r="J76" s="32"/>
      <c r="K76" s="32"/>
      <c r="L76" s="32"/>
      <c r="M76" s="32"/>
      <c r="N76" s="33"/>
      <c r="O76" s="33"/>
      <c r="P76" s="33"/>
      <c r="Q76" s="33"/>
      <c r="R76" s="33"/>
      <c r="S76" s="33"/>
      <c r="T76" s="33"/>
    </row>
    <row r="77" spans="2:20" x14ac:dyDescent="0.3">
      <c r="B77" s="32"/>
      <c r="C77" s="32"/>
      <c r="D77" s="35"/>
      <c r="E77" s="36"/>
      <c r="F77" s="32"/>
      <c r="G77" s="32"/>
      <c r="H77" s="32"/>
      <c r="I77" s="32"/>
      <c r="J77" s="32"/>
      <c r="K77" s="32"/>
      <c r="L77" s="32"/>
      <c r="M77" s="32"/>
      <c r="N77" s="33"/>
      <c r="O77" s="33"/>
      <c r="P77" s="33"/>
      <c r="Q77" s="33"/>
      <c r="R77" s="33"/>
      <c r="S77" s="33"/>
      <c r="T77" s="33"/>
    </row>
    <row r="78" spans="2:20" x14ac:dyDescent="0.3">
      <c r="B78" s="32"/>
      <c r="C78" s="32"/>
      <c r="D78" s="35"/>
      <c r="E78" s="36"/>
      <c r="F78" s="32"/>
      <c r="G78" s="32"/>
      <c r="H78" s="32"/>
      <c r="I78" s="32"/>
      <c r="J78" s="32"/>
      <c r="K78" s="32"/>
      <c r="L78" s="32"/>
      <c r="M78" s="32"/>
      <c r="N78" s="33"/>
      <c r="O78" s="33"/>
      <c r="P78" s="33"/>
      <c r="Q78" s="33"/>
      <c r="R78" s="33"/>
      <c r="S78" s="33"/>
      <c r="T78" s="33"/>
    </row>
    <row r="79" spans="2:20" x14ac:dyDescent="0.3">
      <c r="B79" s="32"/>
      <c r="C79" s="32"/>
      <c r="D79" s="35"/>
      <c r="E79" s="36"/>
      <c r="F79" s="32"/>
      <c r="G79" s="32"/>
      <c r="H79" s="32"/>
      <c r="I79" s="32"/>
      <c r="J79" s="32"/>
      <c r="K79" s="32"/>
      <c r="L79" s="32"/>
      <c r="M79" s="32"/>
      <c r="N79" s="33"/>
      <c r="O79" s="33"/>
      <c r="P79" s="33"/>
      <c r="Q79" s="33"/>
      <c r="R79" s="33"/>
      <c r="S79" s="33"/>
      <c r="T79" s="33"/>
    </row>
    <row r="80" spans="2:20" x14ac:dyDescent="0.3">
      <c r="B80" s="32"/>
      <c r="C80" s="32"/>
      <c r="D80" s="35"/>
      <c r="E80" s="36"/>
      <c r="F80" s="32"/>
      <c r="G80" s="32"/>
      <c r="H80" s="32"/>
      <c r="I80" s="32"/>
      <c r="J80" s="32"/>
      <c r="K80" s="32"/>
      <c r="L80" s="32"/>
      <c r="M80" s="32"/>
      <c r="N80" s="33"/>
      <c r="O80" s="33"/>
      <c r="P80" s="33"/>
      <c r="Q80" s="33"/>
      <c r="R80" s="33"/>
      <c r="S80" s="33"/>
      <c r="T80" s="33"/>
    </row>
    <row r="81" spans="2:20" x14ac:dyDescent="0.3">
      <c r="B81" s="32"/>
      <c r="C81" s="32"/>
      <c r="D81" s="35"/>
      <c r="E81" s="36"/>
      <c r="F81" s="32"/>
      <c r="G81" s="32"/>
      <c r="H81" s="32"/>
      <c r="I81" s="32"/>
      <c r="J81" s="32"/>
      <c r="K81" s="32"/>
      <c r="L81" s="32"/>
      <c r="M81" s="32"/>
      <c r="N81" s="33"/>
      <c r="O81" s="33"/>
      <c r="P81" s="33"/>
      <c r="Q81" s="33"/>
      <c r="R81" s="33"/>
      <c r="S81" s="33"/>
      <c r="T81" s="33"/>
    </row>
    <row r="82" spans="2:20" x14ac:dyDescent="0.3">
      <c r="B82" s="32"/>
      <c r="C82" s="32"/>
      <c r="D82" s="35"/>
      <c r="E82" s="36"/>
      <c r="F82" s="32"/>
      <c r="G82" s="32"/>
      <c r="H82" s="32"/>
      <c r="I82" s="32"/>
      <c r="J82" s="32"/>
      <c r="K82" s="32"/>
      <c r="L82" s="32"/>
      <c r="M82" s="32"/>
      <c r="N82" s="33"/>
      <c r="O82" s="33"/>
      <c r="P82" s="33"/>
      <c r="Q82" s="33"/>
      <c r="R82" s="33"/>
      <c r="S82" s="33"/>
      <c r="T82" s="33"/>
    </row>
    <row r="83" spans="2:20" x14ac:dyDescent="0.3">
      <c r="B83" s="32"/>
      <c r="C83" s="32"/>
      <c r="D83" s="35"/>
      <c r="E83" s="36"/>
      <c r="F83" s="32"/>
      <c r="G83" s="32"/>
      <c r="H83" s="32"/>
      <c r="I83" s="32"/>
      <c r="J83" s="32"/>
      <c r="K83" s="32"/>
      <c r="L83" s="32"/>
      <c r="M83" s="32"/>
      <c r="N83" s="33"/>
      <c r="O83" s="33"/>
      <c r="P83" s="33"/>
      <c r="Q83" s="33"/>
      <c r="R83" s="33"/>
      <c r="S83" s="33"/>
      <c r="T83" s="33"/>
    </row>
    <row r="84" spans="2:20" x14ac:dyDescent="0.3">
      <c r="B84" s="32"/>
      <c r="C84" s="32"/>
      <c r="D84" s="35"/>
      <c r="E84" s="36"/>
      <c r="F84" s="32"/>
      <c r="G84" s="32"/>
      <c r="H84" s="32"/>
      <c r="I84" s="32"/>
      <c r="J84" s="32"/>
      <c r="K84" s="32"/>
      <c r="L84" s="32"/>
      <c r="M84" s="32"/>
      <c r="N84" s="33"/>
      <c r="O84" s="33"/>
      <c r="P84" s="33"/>
      <c r="Q84" s="33"/>
      <c r="R84" s="33"/>
      <c r="S84" s="33"/>
      <c r="T84" s="33"/>
    </row>
    <row r="85" spans="2:20" x14ac:dyDescent="0.3">
      <c r="B85" s="32"/>
      <c r="C85" s="32"/>
      <c r="D85" s="35"/>
      <c r="E85" s="36"/>
      <c r="F85" s="32"/>
      <c r="G85" s="32"/>
      <c r="H85" s="32"/>
      <c r="I85" s="32"/>
      <c r="J85" s="32"/>
      <c r="K85" s="32"/>
      <c r="L85" s="32"/>
      <c r="M85" s="32"/>
      <c r="N85" s="33"/>
      <c r="O85" s="33"/>
      <c r="P85" s="33"/>
      <c r="Q85" s="33"/>
      <c r="R85" s="33"/>
      <c r="S85" s="33"/>
      <c r="T85" s="33"/>
    </row>
    <row r="86" spans="2:20" x14ac:dyDescent="0.3">
      <c r="B86" s="32"/>
      <c r="C86" s="32"/>
      <c r="D86" s="35"/>
      <c r="E86" s="36"/>
      <c r="F86" s="32"/>
      <c r="G86" s="32"/>
      <c r="H86" s="32"/>
      <c r="I86" s="32"/>
      <c r="J86" s="32"/>
      <c r="K86" s="32"/>
      <c r="L86" s="32"/>
      <c r="M86" s="32"/>
      <c r="N86" s="33"/>
      <c r="O86" s="33"/>
      <c r="P86" s="33"/>
      <c r="Q86" s="33"/>
      <c r="R86" s="33"/>
      <c r="S86" s="33"/>
      <c r="T86" s="33"/>
    </row>
    <row r="87" spans="2:20" x14ac:dyDescent="0.3">
      <c r="B87" s="32"/>
      <c r="C87" s="32"/>
      <c r="D87" s="35"/>
      <c r="E87" s="36"/>
      <c r="F87" s="32"/>
      <c r="G87" s="32"/>
      <c r="H87" s="32"/>
      <c r="I87" s="32"/>
      <c r="J87" s="32"/>
      <c r="K87" s="32"/>
      <c r="L87" s="32"/>
      <c r="M87" s="32"/>
      <c r="N87" s="33"/>
      <c r="O87" s="33"/>
      <c r="P87" s="33"/>
      <c r="Q87" s="33"/>
      <c r="R87" s="33"/>
      <c r="S87" s="33"/>
      <c r="T87" s="33"/>
    </row>
    <row r="88" spans="2:20" x14ac:dyDescent="0.3">
      <c r="B88" s="32"/>
      <c r="C88" s="32"/>
      <c r="D88" s="35"/>
      <c r="E88" s="36"/>
      <c r="F88" s="32"/>
      <c r="G88" s="32"/>
      <c r="H88" s="32"/>
      <c r="I88" s="32"/>
      <c r="J88" s="32"/>
      <c r="K88" s="32"/>
      <c r="L88" s="32"/>
      <c r="M88" s="32"/>
      <c r="N88" s="33"/>
      <c r="O88" s="33"/>
      <c r="P88" s="33"/>
      <c r="Q88" s="33"/>
      <c r="R88" s="33"/>
      <c r="S88" s="33"/>
      <c r="T88" s="33"/>
    </row>
    <row r="89" spans="2:20" x14ac:dyDescent="0.3">
      <c r="B89" s="32"/>
      <c r="C89" s="32"/>
      <c r="D89" s="35"/>
      <c r="E89" s="36"/>
      <c r="F89" s="32"/>
      <c r="G89" s="32"/>
      <c r="H89" s="32"/>
      <c r="I89" s="32"/>
      <c r="J89" s="32"/>
      <c r="K89" s="32"/>
      <c r="L89" s="32"/>
      <c r="M89" s="32"/>
      <c r="N89" s="33"/>
      <c r="O89" s="33"/>
      <c r="P89" s="33"/>
      <c r="Q89" s="33"/>
      <c r="R89" s="33"/>
      <c r="S89" s="33"/>
      <c r="T89" s="33"/>
    </row>
    <row r="90" spans="2:20" x14ac:dyDescent="0.3">
      <c r="B90" s="32"/>
      <c r="C90" s="32"/>
      <c r="D90" s="35"/>
      <c r="E90" s="36"/>
      <c r="F90" s="32"/>
      <c r="G90" s="32"/>
      <c r="H90" s="32"/>
      <c r="I90" s="32"/>
      <c r="J90" s="32"/>
      <c r="K90" s="32"/>
      <c r="L90" s="32"/>
      <c r="M90" s="32"/>
      <c r="N90" s="33"/>
      <c r="O90" s="33"/>
      <c r="P90" s="33"/>
      <c r="Q90" s="33"/>
      <c r="R90" s="33"/>
      <c r="S90" s="33"/>
      <c r="T90" s="33"/>
    </row>
    <row r="91" spans="2:20" x14ac:dyDescent="0.3">
      <c r="B91" s="32"/>
      <c r="C91" s="32"/>
      <c r="D91" s="35"/>
      <c r="E91" s="36"/>
      <c r="F91" s="32"/>
      <c r="G91" s="32"/>
      <c r="H91" s="32"/>
      <c r="I91" s="32"/>
      <c r="J91" s="32"/>
      <c r="K91" s="32"/>
      <c r="L91" s="32"/>
      <c r="M91" s="32"/>
      <c r="N91" s="33"/>
      <c r="O91" s="33"/>
      <c r="P91" s="33"/>
      <c r="Q91" s="33"/>
      <c r="R91" s="33"/>
      <c r="S91" s="33"/>
      <c r="T91" s="33"/>
    </row>
    <row r="92" spans="2:20" x14ac:dyDescent="0.3">
      <c r="B92" s="32"/>
      <c r="C92" s="32"/>
      <c r="D92" s="35"/>
      <c r="E92" s="36"/>
      <c r="F92" s="32"/>
      <c r="G92" s="32"/>
      <c r="H92" s="32"/>
      <c r="I92" s="32"/>
      <c r="J92" s="32"/>
      <c r="K92" s="32"/>
      <c r="L92" s="32"/>
      <c r="M92" s="32"/>
      <c r="N92" s="33"/>
      <c r="O92" s="33"/>
      <c r="P92" s="33"/>
      <c r="Q92" s="33"/>
      <c r="R92" s="33"/>
      <c r="S92" s="33"/>
      <c r="T92" s="33"/>
    </row>
    <row r="93" spans="2:20" x14ac:dyDescent="0.3">
      <c r="B93" s="32"/>
      <c r="C93" s="32"/>
      <c r="D93" s="35"/>
      <c r="E93" s="36"/>
      <c r="F93" s="32"/>
      <c r="G93" s="32"/>
      <c r="H93" s="32"/>
      <c r="I93" s="32"/>
      <c r="J93" s="32"/>
      <c r="K93" s="32"/>
      <c r="L93" s="32"/>
      <c r="M93" s="32"/>
      <c r="N93" s="33"/>
      <c r="O93" s="33"/>
      <c r="P93" s="33"/>
      <c r="Q93" s="33"/>
      <c r="R93" s="33"/>
      <c r="S93" s="33"/>
      <c r="T93" s="33"/>
    </row>
    <row r="94" spans="2:20" x14ac:dyDescent="0.3">
      <c r="B94" s="32"/>
      <c r="C94" s="32"/>
      <c r="D94" s="35"/>
      <c r="E94" s="36"/>
      <c r="F94" s="32"/>
      <c r="G94" s="32"/>
      <c r="H94" s="32"/>
      <c r="I94" s="32"/>
      <c r="J94" s="32"/>
      <c r="K94" s="32"/>
      <c r="L94" s="32"/>
      <c r="M94" s="32"/>
      <c r="N94" s="33"/>
      <c r="O94" s="33"/>
      <c r="P94" s="33"/>
      <c r="Q94" s="33"/>
      <c r="R94" s="33"/>
      <c r="S94" s="33"/>
      <c r="T94" s="33"/>
    </row>
    <row r="95" spans="2:20" x14ac:dyDescent="0.3">
      <c r="B95" s="32"/>
      <c r="C95" s="32"/>
      <c r="D95" s="35"/>
      <c r="E95" s="36"/>
      <c r="F95" s="32"/>
      <c r="G95" s="32"/>
      <c r="H95" s="32"/>
      <c r="I95" s="32"/>
      <c r="J95" s="32"/>
      <c r="K95" s="32"/>
      <c r="L95" s="32"/>
      <c r="M95" s="32"/>
      <c r="N95" s="33"/>
      <c r="O95" s="33"/>
      <c r="P95" s="33"/>
      <c r="Q95" s="33"/>
      <c r="R95" s="33"/>
      <c r="S95" s="33"/>
      <c r="T95" s="33"/>
    </row>
    <row r="96" spans="2:20" x14ac:dyDescent="0.3">
      <c r="B96" s="32"/>
      <c r="C96" s="32"/>
      <c r="D96" s="35"/>
      <c r="E96" s="36"/>
      <c r="F96" s="32"/>
      <c r="G96" s="32"/>
      <c r="H96" s="32"/>
      <c r="I96" s="32"/>
      <c r="J96" s="32"/>
      <c r="K96" s="32"/>
      <c r="L96" s="32"/>
      <c r="M96" s="32"/>
      <c r="N96" s="33"/>
      <c r="O96" s="33"/>
      <c r="P96" s="33"/>
      <c r="Q96" s="33"/>
      <c r="R96" s="33"/>
      <c r="S96" s="33"/>
      <c r="T96" s="33"/>
    </row>
    <row r="97" spans="2:20" x14ac:dyDescent="0.3">
      <c r="B97" s="32"/>
      <c r="C97" s="32"/>
      <c r="D97" s="35"/>
      <c r="E97" s="36"/>
      <c r="F97" s="32"/>
      <c r="G97" s="32"/>
      <c r="H97" s="32"/>
      <c r="I97" s="32"/>
      <c r="J97" s="32"/>
      <c r="K97" s="32"/>
      <c r="L97" s="32"/>
      <c r="M97" s="32"/>
      <c r="N97" s="33"/>
      <c r="O97" s="33"/>
      <c r="P97" s="33"/>
      <c r="Q97" s="33"/>
      <c r="R97" s="33"/>
      <c r="S97" s="33"/>
      <c r="T97" s="33"/>
    </row>
    <row r="98" spans="2:20" x14ac:dyDescent="0.3">
      <c r="B98" s="32"/>
      <c r="C98" s="32"/>
      <c r="D98" s="35"/>
      <c r="E98" s="36"/>
      <c r="F98" s="32"/>
      <c r="G98" s="32"/>
      <c r="H98" s="32"/>
      <c r="I98" s="32"/>
      <c r="J98" s="32"/>
      <c r="K98" s="32"/>
      <c r="L98" s="32"/>
      <c r="M98" s="32"/>
      <c r="N98" s="33"/>
      <c r="O98" s="33"/>
      <c r="P98" s="33"/>
      <c r="Q98" s="33"/>
      <c r="R98" s="33"/>
      <c r="S98" s="33"/>
      <c r="T98" s="33"/>
    </row>
    <row r="99" spans="2:20" x14ac:dyDescent="0.3">
      <c r="B99" s="32"/>
      <c r="C99" s="32"/>
      <c r="D99" s="35"/>
      <c r="E99" s="36"/>
      <c r="F99" s="32"/>
      <c r="G99" s="32"/>
      <c r="H99" s="32"/>
      <c r="I99" s="32"/>
      <c r="J99" s="32"/>
      <c r="K99" s="32"/>
      <c r="L99" s="32"/>
      <c r="M99" s="32"/>
      <c r="N99" s="33"/>
      <c r="O99" s="33"/>
      <c r="P99" s="33"/>
      <c r="Q99" s="33"/>
      <c r="R99" s="33"/>
      <c r="S99" s="33"/>
      <c r="T99" s="33"/>
    </row>
    <row r="100" spans="2:20" x14ac:dyDescent="0.3">
      <c r="B100" s="32"/>
      <c r="C100" s="32"/>
      <c r="D100" s="35"/>
      <c r="E100" s="36"/>
      <c r="F100" s="32"/>
      <c r="G100" s="32"/>
      <c r="H100" s="32"/>
      <c r="I100" s="32"/>
      <c r="J100" s="32"/>
      <c r="K100" s="32"/>
      <c r="L100" s="32"/>
      <c r="M100" s="32"/>
      <c r="N100" s="33"/>
      <c r="O100" s="33"/>
      <c r="P100" s="33"/>
      <c r="Q100" s="33"/>
      <c r="R100" s="33"/>
      <c r="S100" s="33"/>
      <c r="T100" s="33"/>
    </row>
    <row r="101" spans="2:20" x14ac:dyDescent="0.3">
      <c r="B101" s="32"/>
      <c r="C101" s="32"/>
      <c r="D101" s="35"/>
      <c r="E101" s="36"/>
      <c r="F101" s="32"/>
      <c r="G101" s="32"/>
      <c r="H101" s="32"/>
      <c r="I101" s="32"/>
      <c r="J101" s="32"/>
      <c r="K101" s="32"/>
      <c r="L101" s="32"/>
      <c r="M101" s="32"/>
      <c r="N101" s="33"/>
      <c r="O101" s="33"/>
      <c r="P101" s="33"/>
      <c r="Q101" s="33"/>
      <c r="R101" s="33"/>
      <c r="S101" s="33"/>
      <c r="T101" s="33"/>
    </row>
    <row r="102" spans="2:20" x14ac:dyDescent="0.3">
      <c r="B102" s="32"/>
      <c r="C102" s="32"/>
      <c r="D102" s="35"/>
      <c r="E102" s="36"/>
      <c r="F102" s="32"/>
      <c r="G102" s="32"/>
      <c r="H102" s="32"/>
      <c r="I102" s="32"/>
      <c r="J102" s="32"/>
      <c r="K102" s="32"/>
      <c r="L102" s="32"/>
      <c r="M102" s="32"/>
      <c r="N102" s="33"/>
      <c r="O102" s="33"/>
      <c r="P102" s="33"/>
      <c r="Q102" s="33"/>
      <c r="R102" s="33"/>
      <c r="S102" s="33"/>
      <c r="T102" s="33"/>
    </row>
    <row r="103" spans="2:20" x14ac:dyDescent="0.3">
      <c r="B103" s="32"/>
      <c r="C103" s="32"/>
      <c r="D103" s="35"/>
      <c r="E103" s="36"/>
      <c r="F103" s="32"/>
      <c r="G103" s="32"/>
      <c r="H103" s="32"/>
      <c r="I103" s="32"/>
      <c r="J103" s="32"/>
      <c r="K103" s="32"/>
      <c r="L103" s="32"/>
      <c r="M103" s="32"/>
      <c r="N103" s="33"/>
      <c r="O103" s="33"/>
      <c r="P103" s="33"/>
      <c r="Q103" s="33"/>
      <c r="R103" s="33"/>
      <c r="S103" s="33"/>
      <c r="T103" s="33"/>
    </row>
    <row r="104" spans="2:20" x14ac:dyDescent="0.3">
      <c r="B104" s="32"/>
      <c r="C104" s="32"/>
      <c r="D104" s="35"/>
      <c r="E104" s="36"/>
      <c r="F104" s="32"/>
      <c r="G104" s="32"/>
      <c r="H104" s="32"/>
      <c r="I104" s="32"/>
      <c r="J104" s="32"/>
      <c r="K104" s="32"/>
      <c r="L104" s="32"/>
      <c r="M104" s="32"/>
      <c r="N104" s="33"/>
      <c r="O104" s="33"/>
      <c r="P104" s="33"/>
      <c r="Q104" s="33"/>
      <c r="R104" s="33"/>
      <c r="S104" s="33"/>
      <c r="T104" s="33"/>
    </row>
    <row r="105" spans="2:20" x14ac:dyDescent="0.3">
      <c r="B105" s="32"/>
      <c r="C105" s="32"/>
      <c r="D105" s="35"/>
      <c r="E105" s="36"/>
      <c r="F105" s="32"/>
      <c r="G105" s="32"/>
      <c r="H105" s="32"/>
      <c r="I105" s="32"/>
      <c r="J105" s="32"/>
      <c r="K105" s="32"/>
      <c r="L105" s="32"/>
      <c r="M105" s="32"/>
      <c r="N105" s="33"/>
      <c r="O105" s="33"/>
      <c r="P105" s="33"/>
      <c r="Q105" s="33"/>
      <c r="R105" s="33"/>
      <c r="S105" s="33"/>
      <c r="T105" s="33"/>
    </row>
    <row r="106" spans="2:20" x14ac:dyDescent="0.3">
      <c r="B106" s="32"/>
      <c r="C106" s="32"/>
      <c r="D106" s="35"/>
      <c r="E106" s="36"/>
      <c r="F106" s="32"/>
      <c r="G106" s="32"/>
      <c r="H106" s="32"/>
      <c r="I106" s="32"/>
      <c r="J106" s="32"/>
      <c r="K106" s="32"/>
      <c r="L106" s="32"/>
      <c r="M106" s="32"/>
      <c r="N106" s="33"/>
      <c r="O106" s="33"/>
      <c r="P106" s="33"/>
      <c r="Q106" s="33"/>
      <c r="R106" s="33"/>
      <c r="S106" s="33"/>
      <c r="T106" s="33"/>
    </row>
    <row r="107" spans="2:20" x14ac:dyDescent="0.3">
      <c r="B107" s="32"/>
      <c r="C107" s="32"/>
      <c r="D107" s="35"/>
      <c r="E107" s="36"/>
      <c r="F107" s="32"/>
      <c r="G107" s="32"/>
      <c r="H107" s="32"/>
      <c r="I107" s="32"/>
      <c r="J107" s="32"/>
      <c r="K107" s="32"/>
      <c r="L107" s="32"/>
      <c r="M107" s="32"/>
      <c r="N107" s="33"/>
      <c r="O107" s="33"/>
      <c r="P107" s="33"/>
      <c r="Q107" s="33"/>
      <c r="R107" s="33"/>
      <c r="S107" s="33"/>
      <c r="T107" s="33"/>
    </row>
    <row r="108" spans="2:20" x14ac:dyDescent="0.3">
      <c r="B108" s="32"/>
      <c r="C108" s="32"/>
      <c r="D108" s="35"/>
      <c r="E108" s="36"/>
      <c r="F108" s="32"/>
      <c r="G108" s="32"/>
      <c r="H108" s="32"/>
      <c r="I108" s="32"/>
      <c r="J108" s="32"/>
      <c r="K108" s="32"/>
      <c r="L108" s="32"/>
      <c r="M108" s="32"/>
      <c r="N108" s="33"/>
      <c r="O108" s="33"/>
      <c r="P108" s="33"/>
      <c r="Q108" s="33"/>
      <c r="R108" s="33"/>
      <c r="S108" s="33"/>
      <c r="T108" s="33"/>
    </row>
    <row r="109" spans="2:20" x14ac:dyDescent="0.3">
      <c r="B109" s="32"/>
      <c r="C109" s="32"/>
      <c r="D109" s="35"/>
      <c r="E109" s="36"/>
      <c r="F109" s="32"/>
      <c r="G109" s="32"/>
      <c r="H109" s="32"/>
      <c r="I109" s="32"/>
      <c r="J109" s="32"/>
      <c r="K109" s="32"/>
      <c r="L109" s="32"/>
      <c r="M109" s="32"/>
      <c r="N109" s="33"/>
      <c r="O109" s="33"/>
      <c r="P109" s="33"/>
      <c r="Q109" s="33"/>
      <c r="R109" s="33"/>
      <c r="S109" s="33"/>
      <c r="T109" s="33"/>
    </row>
    <row r="110" spans="2:20" x14ac:dyDescent="0.3">
      <c r="B110" s="32"/>
      <c r="C110" s="32"/>
      <c r="D110" s="35"/>
      <c r="E110" s="36"/>
      <c r="F110" s="32"/>
      <c r="G110" s="32"/>
      <c r="H110" s="32"/>
      <c r="I110" s="32"/>
      <c r="J110" s="32"/>
      <c r="K110" s="32"/>
      <c r="L110" s="32"/>
      <c r="M110" s="32"/>
      <c r="N110" s="33"/>
      <c r="O110" s="33"/>
      <c r="P110" s="33"/>
      <c r="Q110" s="33"/>
      <c r="R110" s="33"/>
      <c r="S110" s="33"/>
      <c r="T110" s="33"/>
    </row>
    <row r="111" spans="2:20" x14ac:dyDescent="0.3">
      <c r="B111" s="32"/>
      <c r="C111" s="32"/>
      <c r="D111" s="35"/>
      <c r="E111" s="36"/>
      <c r="F111" s="32"/>
      <c r="G111" s="32"/>
      <c r="H111" s="32"/>
      <c r="I111" s="32"/>
      <c r="J111" s="32"/>
      <c r="K111" s="32"/>
      <c r="L111" s="32"/>
      <c r="M111" s="32"/>
      <c r="N111" s="33"/>
      <c r="O111" s="33"/>
      <c r="P111" s="33"/>
      <c r="Q111" s="33"/>
      <c r="R111" s="33"/>
      <c r="S111" s="33"/>
      <c r="T111" s="33"/>
    </row>
    <row r="112" spans="2:20" x14ac:dyDescent="0.3">
      <c r="B112" s="32"/>
      <c r="C112" s="32"/>
      <c r="D112" s="35"/>
      <c r="E112" s="36"/>
      <c r="F112" s="32"/>
      <c r="G112" s="32"/>
      <c r="H112" s="32"/>
      <c r="I112" s="32"/>
      <c r="J112" s="32"/>
      <c r="K112" s="32"/>
      <c r="L112" s="32"/>
      <c r="M112" s="32"/>
      <c r="N112" s="33"/>
      <c r="O112" s="33"/>
      <c r="P112" s="33"/>
      <c r="Q112" s="33"/>
      <c r="R112" s="33"/>
      <c r="S112" s="33"/>
      <c r="T112" s="33"/>
    </row>
    <row r="113" spans="2:20" x14ac:dyDescent="0.3">
      <c r="B113" s="32"/>
      <c r="C113" s="32"/>
      <c r="D113" s="35"/>
      <c r="E113" s="36"/>
      <c r="F113" s="32"/>
      <c r="G113" s="32"/>
      <c r="H113" s="32"/>
      <c r="I113" s="32"/>
      <c r="J113" s="32"/>
      <c r="K113" s="32"/>
      <c r="L113" s="32"/>
      <c r="M113" s="32"/>
      <c r="N113" s="33"/>
      <c r="O113" s="33"/>
      <c r="P113" s="33"/>
      <c r="Q113" s="33"/>
      <c r="R113" s="33"/>
      <c r="S113" s="33"/>
      <c r="T113" s="33"/>
    </row>
    <row r="114" spans="2:20" x14ac:dyDescent="0.3">
      <c r="B114" s="32"/>
      <c r="C114" s="32"/>
      <c r="D114" s="35"/>
      <c r="E114" s="36"/>
      <c r="F114" s="32"/>
      <c r="G114" s="32"/>
      <c r="H114" s="32"/>
      <c r="I114" s="32"/>
      <c r="J114" s="32"/>
      <c r="K114" s="32"/>
      <c r="L114" s="32"/>
      <c r="M114" s="32"/>
      <c r="N114" s="33"/>
      <c r="O114" s="33"/>
      <c r="P114" s="33"/>
      <c r="Q114" s="33"/>
      <c r="R114" s="33"/>
      <c r="S114" s="33"/>
      <c r="T114" s="33"/>
    </row>
    <row r="115" spans="2:20" x14ac:dyDescent="0.3">
      <c r="B115" s="32"/>
      <c r="C115" s="32"/>
      <c r="D115" s="35"/>
      <c r="E115" s="36"/>
      <c r="F115" s="32"/>
      <c r="G115" s="32"/>
      <c r="H115" s="32"/>
      <c r="I115" s="32"/>
      <c r="J115" s="32"/>
      <c r="K115" s="32"/>
      <c r="L115" s="32"/>
      <c r="M115" s="32"/>
      <c r="N115" s="33"/>
      <c r="O115" s="33"/>
      <c r="P115" s="33"/>
      <c r="Q115" s="33"/>
      <c r="R115" s="33"/>
      <c r="S115" s="33"/>
      <c r="T115" s="33"/>
    </row>
    <row r="116" spans="2:20" x14ac:dyDescent="0.3">
      <c r="B116" s="32"/>
      <c r="C116" s="32"/>
      <c r="D116" s="35"/>
      <c r="E116" s="36"/>
      <c r="F116" s="32"/>
      <c r="G116" s="32"/>
      <c r="H116" s="32"/>
      <c r="I116" s="32"/>
      <c r="J116" s="32"/>
      <c r="K116" s="32"/>
      <c r="L116" s="32"/>
      <c r="M116" s="32"/>
      <c r="N116" s="33"/>
      <c r="O116" s="33"/>
      <c r="P116" s="33"/>
      <c r="Q116" s="33"/>
      <c r="R116" s="33"/>
      <c r="S116" s="33"/>
      <c r="T116" s="33"/>
    </row>
    <row r="117" spans="2:20" x14ac:dyDescent="0.3">
      <c r="B117" s="32"/>
      <c r="C117" s="32"/>
      <c r="D117" s="35"/>
      <c r="E117" s="36"/>
      <c r="F117" s="32"/>
      <c r="G117" s="32"/>
      <c r="H117" s="32"/>
      <c r="I117" s="32"/>
      <c r="J117" s="32"/>
      <c r="K117" s="32"/>
      <c r="L117" s="32"/>
      <c r="M117" s="32"/>
      <c r="N117" s="33"/>
      <c r="O117" s="33"/>
      <c r="P117" s="33"/>
      <c r="Q117" s="33"/>
      <c r="R117" s="33"/>
      <c r="S117" s="33"/>
      <c r="T117" s="33"/>
    </row>
    <row r="118" spans="2:20" x14ac:dyDescent="0.3">
      <c r="B118" s="32"/>
      <c r="C118" s="32"/>
      <c r="D118" s="35"/>
      <c r="E118" s="36"/>
      <c r="F118" s="32"/>
      <c r="G118" s="32"/>
      <c r="H118" s="32"/>
      <c r="I118" s="32"/>
      <c r="J118" s="32"/>
      <c r="K118" s="32"/>
      <c r="L118" s="32"/>
      <c r="M118" s="32"/>
      <c r="N118" s="33"/>
      <c r="O118" s="33"/>
      <c r="P118" s="33"/>
      <c r="Q118" s="33"/>
      <c r="R118" s="33"/>
      <c r="S118" s="33"/>
      <c r="T118" s="33"/>
    </row>
    <row r="119" spans="2:20" x14ac:dyDescent="0.3">
      <c r="B119" s="32"/>
      <c r="C119" s="32"/>
      <c r="D119" s="35"/>
      <c r="E119" s="36"/>
      <c r="F119" s="32"/>
      <c r="G119" s="32"/>
      <c r="H119" s="32"/>
      <c r="I119" s="32"/>
      <c r="J119" s="32"/>
      <c r="K119" s="32"/>
      <c r="L119" s="32"/>
      <c r="M119" s="32"/>
      <c r="N119" s="33"/>
      <c r="O119" s="33"/>
      <c r="P119" s="33"/>
      <c r="Q119" s="33"/>
      <c r="R119" s="33"/>
      <c r="S119" s="33"/>
      <c r="T119" s="33"/>
    </row>
    <row r="120" spans="2:20" x14ac:dyDescent="0.3">
      <c r="B120" s="32"/>
      <c r="C120" s="32"/>
      <c r="D120" s="35"/>
      <c r="E120" s="36"/>
      <c r="F120" s="32"/>
      <c r="G120" s="32"/>
      <c r="H120" s="32"/>
      <c r="I120" s="32"/>
      <c r="J120" s="32"/>
      <c r="K120" s="32"/>
      <c r="L120" s="32"/>
      <c r="M120" s="32"/>
      <c r="N120" s="33"/>
      <c r="O120" s="33"/>
      <c r="P120" s="33"/>
      <c r="Q120" s="33"/>
      <c r="R120" s="33"/>
      <c r="S120" s="33"/>
      <c r="T120" s="33"/>
    </row>
    <row r="121" spans="2:20" x14ac:dyDescent="0.3">
      <c r="B121" s="32"/>
      <c r="C121" s="32"/>
      <c r="D121" s="35"/>
      <c r="E121" s="36"/>
      <c r="F121" s="32"/>
      <c r="G121" s="32"/>
      <c r="H121" s="32"/>
      <c r="I121" s="32"/>
      <c r="J121" s="32"/>
      <c r="K121" s="32"/>
      <c r="L121" s="32"/>
      <c r="M121" s="32"/>
      <c r="N121" s="33"/>
      <c r="O121" s="33"/>
      <c r="P121" s="33"/>
      <c r="Q121" s="33"/>
      <c r="R121" s="33"/>
      <c r="S121" s="33"/>
      <c r="T121" s="33"/>
    </row>
    <row r="122" spans="2:20" x14ac:dyDescent="0.3">
      <c r="B122" s="32"/>
      <c r="C122" s="32"/>
      <c r="D122" s="35"/>
      <c r="E122" s="36"/>
      <c r="F122" s="32"/>
      <c r="G122" s="32"/>
      <c r="H122" s="32"/>
      <c r="I122" s="32"/>
      <c r="J122" s="32"/>
      <c r="K122" s="32"/>
      <c r="L122" s="32"/>
      <c r="M122" s="32"/>
      <c r="N122" s="33"/>
      <c r="O122" s="33"/>
      <c r="P122" s="33"/>
      <c r="Q122" s="33"/>
      <c r="R122" s="33"/>
      <c r="S122" s="33"/>
      <c r="T122" s="33"/>
    </row>
    <row r="123" spans="2:20" x14ac:dyDescent="0.3">
      <c r="B123" s="32"/>
      <c r="C123" s="32"/>
      <c r="D123" s="35"/>
      <c r="E123" s="36"/>
      <c r="F123" s="32"/>
      <c r="G123" s="32"/>
      <c r="H123" s="32"/>
      <c r="I123" s="32"/>
      <c r="J123" s="32"/>
      <c r="K123" s="32"/>
      <c r="L123" s="32"/>
      <c r="M123" s="32"/>
      <c r="N123" s="33"/>
      <c r="O123" s="33"/>
      <c r="P123" s="33"/>
      <c r="Q123" s="33"/>
      <c r="R123" s="33"/>
      <c r="S123" s="33"/>
      <c r="T123" s="33"/>
    </row>
    <row r="124" spans="2:20" x14ac:dyDescent="0.3">
      <c r="B124" s="32"/>
      <c r="C124" s="32"/>
      <c r="D124" s="35"/>
      <c r="E124" s="36"/>
      <c r="F124" s="32"/>
      <c r="G124" s="32"/>
      <c r="H124" s="32"/>
      <c r="I124" s="32"/>
      <c r="J124" s="32"/>
      <c r="K124" s="32"/>
      <c r="L124" s="32"/>
      <c r="M124" s="32"/>
      <c r="N124" s="33"/>
      <c r="O124" s="33"/>
      <c r="P124" s="33"/>
      <c r="Q124" s="33"/>
      <c r="R124" s="33"/>
      <c r="S124" s="33"/>
      <c r="T124" s="33"/>
    </row>
    <row r="125" spans="2:20" x14ac:dyDescent="0.3">
      <c r="B125" s="32"/>
      <c r="C125" s="32"/>
      <c r="D125" s="35"/>
      <c r="E125" s="36"/>
      <c r="F125" s="32"/>
      <c r="G125" s="32"/>
      <c r="H125" s="32"/>
      <c r="I125" s="32"/>
      <c r="J125" s="32"/>
      <c r="K125" s="32"/>
      <c r="L125" s="32"/>
      <c r="M125" s="32"/>
      <c r="N125" s="33"/>
      <c r="O125" s="33"/>
      <c r="P125" s="33"/>
      <c r="Q125" s="33"/>
      <c r="R125" s="33"/>
      <c r="S125" s="33"/>
      <c r="T125" s="33"/>
    </row>
    <row r="126" spans="2:20" x14ac:dyDescent="0.3">
      <c r="B126" s="32"/>
      <c r="C126" s="32"/>
      <c r="D126" s="35"/>
      <c r="E126" s="36"/>
      <c r="F126" s="32"/>
      <c r="G126" s="32"/>
      <c r="H126" s="32"/>
      <c r="I126" s="32"/>
      <c r="J126" s="32"/>
      <c r="K126" s="32"/>
      <c r="L126" s="32"/>
      <c r="M126" s="32"/>
      <c r="N126" s="33"/>
      <c r="O126" s="33"/>
      <c r="P126" s="33"/>
      <c r="Q126" s="33"/>
      <c r="R126" s="33"/>
      <c r="S126" s="33"/>
      <c r="T126" s="33"/>
    </row>
    <row r="127" spans="2:20" x14ac:dyDescent="0.3">
      <c r="B127" s="32"/>
      <c r="C127" s="32"/>
      <c r="D127" s="35"/>
      <c r="E127" s="36"/>
      <c r="F127" s="32"/>
      <c r="G127" s="32"/>
      <c r="H127" s="32"/>
      <c r="I127" s="32"/>
      <c r="J127" s="32"/>
      <c r="K127" s="32"/>
      <c r="L127" s="32"/>
      <c r="M127" s="32"/>
      <c r="N127" s="33"/>
      <c r="O127" s="33"/>
      <c r="P127" s="33"/>
      <c r="Q127" s="33"/>
      <c r="R127" s="33"/>
      <c r="S127" s="33"/>
      <c r="T127" s="33"/>
    </row>
    <row r="128" spans="2:20" x14ac:dyDescent="0.3">
      <c r="B128" s="32"/>
      <c r="C128" s="32"/>
      <c r="D128" s="35"/>
      <c r="E128" s="36"/>
      <c r="F128" s="32"/>
      <c r="G128" s="32"/>
      <c r="H128" s="32"/>
      <c r="I128" s="32"/>
      <c r="J128" s="32"/>
      <c r="K128" s="32"/>
      <c r="L128" s="32"/>
      <c r="M128" s="32"/>
      <c r="N128" s="33"/>
      <c r="O128" s="33"/>
      <c r="P128" s="33"/>
      <c r="Q128" s="33"/>
      <c r="R128" s="33"/>
      <c r="S128" s="33"/>
      <c r="T128" s="33"/>
    </row>
    <row r="129" spans="2:20" x14ac:dyDescent="0.3">
      <c r="B129" s="32"/>
      <c r="C129" s="32"/>
      <c r="D129" s="35"/>
      <c r="E129" s="36"/>
      <c r="F129" s="32"/>
      <c r="G129" s="32"/>
      <c r="H129" s="32"/>
      <c r="I129" s="32"/>
      <c r="J129" s="32"/>
      <c r="K129" s="32"/>
      <c r="L129" s="32"/>
      <c r="M129" s="32"/>
      <c r="N129" s="33"/>
      <c r="O129" s="33"/>
      <c r="P129" s="33"/>
      <c r="Q129" s="33"/>
      <c r="R129" s="33"/>
      <c r="S129" s="33"/>
      <c r="T129" s="33"/>
    </row>
    <row r="130" spans="2:20" x14ac:dyDescent="0.3">
      <c r="B130" s="32"/>
      <c r="C130" s="32"/>
      <c r="D130" s="35"/>
      <c r="E130" s="36"/>
      <c r="F130" s="32"/>
      <c r="G130" s="32"/>
      <c r="H130" s="32"/>
      <c r="I130" s="32"/>
      <c r="J130" s="32"/>
      <c r="K130" s="32"/>
      <c r="L130" s="32"/>
      <c r="M130" s="32"/>
      <c r="N130" s="33"/>
      <c r="O130" s="33"/>
      <c r="P130" s="33"/>
      <c r="Q130" s="33"/>
      <c r="R130" s="33"/>
      <c r="S130" s="33"/>
      <c r="T130" s="33"/>
    </row>
    <row r="131" spans="2:20" x14ac:dyDescent="0.3">
      <c r="B131" s="32"/>
      <c r="C131" s="32"/>
      <c r="D131" s="35"/>
      <c r="E131" s="36"/>
      <c r="F131" s="32"/>
      <c r="G131" s="32"/>
      <c r="H131" s="32"/>
      <c r="I131" s="32"/>
      <c r="J131" s="32"/>
      <c r="K131" s="32"/>
      <c r="L131" s="32"/>
      <c r="M131" s="32"/>
      <c r="N131" s="33"/>
      <c r="O131" s="33"/>
      <c r="P131" s="33"/>
      <c r="Q131" s="33"/>
      <c r="R131" s="33"/>
      <c r="S131" s="33"/>
      <c r="T131" s="33"/>
    </row>
    <row r="132" spans="2:20" x14ac:dyDescent="0.3">
      <c r="B132" s="32"/>
      <c r="C132" s="32"/>
      <c r="D132" s="35"/>
      <c r="E132" s="36"/>
      <c r="F132" s="32"/>
      <c r="G132" s="32"/>
      <c r="H132" s="32"/>
      <c r="I132" s="32"/>
      <c r="J132" s="32"/>
      <c r="K132" s="32"/>
      <c r="L132" s="32"/>
      <c r="M132" s="32"/>
      <c r="N132" s="33"/>
      <c r="O132" s="33"/>
      <c r="P132" s="33"/>
      <c r="Q132" s="33"/>
      <c r="R132" s="33"/>
      <c r="S132" s="33"/>
      <c r="T132" s="33"/>
    </row>
    <row r="133" spans="2:20" x14ac:dyDescent="0.3">
      <c r="B133" s="32"/>
      <c r="C133" s="32"/>
      <c r="D133" s="35"/>
      <c r="E133" s="36"/>
      <c r="F133" s="32"/>
      <c r="G133" s="32"/>
      <c r="H133" s="32"/>
      <c r="I133" s="32"/>
      <c r="J133" s="32"/>
      <c r="K133" s="32"/>
      <c r="L133" s="32"/>
      <c r="M133" s="32"/>
      <c r="N133" s="33"/>
      <c r="O133" s="33"/>
      <c r="P133" s="33"/>
      <c r="Q133" s="33"/>
      <c r="R133" s="33"/>
      <c r="S133" s="33"/>
      <c r="T133" s="33"/>
    </row>
    <row r="134" spans="2:20" x14ac:dyDescent="0.3">
      <c r="B134" s="32"/>
      <c r="C134" s="32"/>
      <c r="D134" s="35"/>
      <c r="E134" s="36"/>
      <c r="F134" s="32"/>
      <c r="G134" s="32"/>
      <c r="H134" s="32"/>
      <c r="I134" s="32"/>
      <c r="J134" s="32"/>
      <c r="K134" s="32"/>
      <c r="L134" s="32"/>
      <c r="M134" s="32"/>
      <c r="N134" s="33"/>
      <c r="O134" s="33"/>
      <c r="P134" s="33"/>
      <c r="Q134" s="33"/>
      <c r="R134" s="33"/>
      <c r="S134" s="33"/>
      <c r="T134" s="33"/>
    </row>
    <row r="135" spans="2:20" x14ac:dyDescent="0.3">
      <c r="B135" s="32"/>
      <c r="C135" s="32"/>
      <c r="D135" s="35"/>
      <c r="E135" s="36"/>
      <c r="F135" s="32"/>
      <c r="G135" s="32"/>
      <c r="H135" s="32"/>
      <c r="I135" s="32"/>
      <c r="J135" s="32"/>
      <c r="K135" s="32"/>
      <c r="L135" s="32"/>
      <c r="M135" s="32"/>
      <c r="N135" s="33"/>
      <c r="O135" s="33"/>
      <c r="P135" s="33"/>
      <c r="Q135" s="33"/>
      <c r="R135" s="33"/>
      <c r="S135" s="33"/>
      <c r="T135" s="33"/>
    </row>
    <row r="136" spans="2:20" x14ac:dyDescent="0.3">
      <c r="B136" s="32"/>
      <c r="C136" s="32"/>
      <c r="D136" s="35"/>
      <c r="E136" s="36"/>
      <c r="F136" s="32"/>
      <c r="G136" s="32"/>
      <c r="H136" s="32"/>
      <c r="I136" s="32"/>
      <c r="J136" s="32"/>
      <c r="K136" s="32"/>
      <c r="L136" s="32"/>
      <c r="M136" s="32"/>
      <c r="N136" s="33"/>
      <c r="O136" s="33"/>
      <c r="P136" s="33"/>
      <c r="Q136" s="33"/>
      <c r="R136" s="33"/>
      <c r="S136" s="33"/>
      <c r="T136" s="33"/>
    </row>
    <row r="137" spans="2:20" x14ac:dyDescent="0.3">
      <c r="B137" s="32"/>
      <c r="C137" s="32"/>
      <c r="D137" s="35"/>
      <c r="E137" s="36"/>
      <c r="F137" s="32"/>
      <c r="G137" s="32"/>
      <c r="H137" s="32"/>
      <c r="I137" s="32"/>
      <c r="J137" s="32"/>
      <c r="K137" s="32"/>
      <c r="L137" s="32"/>
      <c r="M137" s="32"/>
      <c r="N137" s="33"/>
      <c r="O137" s="33"/>
      <c r="P137" s="33"/>
      <c r="Q137" s="33"/>
      <c r="R137" s="33"/>
      <c r="S137" s="33"/>
      <c r="T137" s="33"/>
    </row>
    <row r="138" spans="2:20" x14ac:dyDescent="0.3">
      <c r="B138" s="32"/>
      <c r="C138" s="32"/>
      <c r="D138" s="35"/>
      <c r="E138" s="36"/>
      <c r="F138" s="32"/>
      <c r="G138" s="32"/>
      <c r="H138" s="32"/>
      <c r="I138" s="32"/>
      <c r="J138" s="32"/>
      <c r="K138" s="32"/>
      <c r="L138" s="32"/>
      <c r="M138" s="32"/>
      <c r="N138" s="33"/>
      <c r="O138" s="33"/>
      <c r="P138" s="33"/>
      <c r="Q138" s="33"/>
      <c r="R138" s="33"/>
      <c r="S138" s="33"/>
      <c r="T138" s="33"/>
    </row>
    <row r="139" spans="2:20" x14ac:dyDescent="0.3">
      <c r="B139" s="32"/>
      <c r="C139" s="32"/>
      <c r="D139" s="35"/>
      <c r="E139" s="36"/>
      <c r="F139" s="32"/>
      <c r="G139" s="32"/>
      <c r="H139" s="32"/>
      <c r="I139" s="32"/>
      <c r="J139" s="32"/>
      <c r="K139" s="32"/>
      <c r="L139" s="32"/>
      <c r="M139" s="32"/>
      <c r="N139" s="33"/>
      <c r="O139" s="33"/>
      <c r="P139" s="33"/>
      <c r="Q139" s="33"/>
      <c r="R139" s="33"/>
      <c r="S139" s="33"/>
      <c r="T139" s="33"/>
    </row>
    <row r="140" spans="2:20" x14ac:dyDescent="0.3">
      <c r="B140" s="32"/>
      <c r="C140" s="32"/>
      <c r="D140" s="35"/>
      <c r="E140" s="36"/>
      <c r="F140" s="32"/>
      <c r="G140" s="32"/>
      <c r="H140" s="32"/>
      <c r="I140" s="32"/>
      <c r="J140" s="32"/>
      <c r="K140" s="32"/>
      <c r="L140" s="32"/>
      <c r="M140" s="32"/>
      <c r="N140" s="33"/>
      <c r="O140" s="33"/>
      <c r="P140" s="33"/>
      <c r="Q140" s="33"/>
      <c r="R140" s="33"/>
      <c r="S140" s="33"/>
      <c r="T140" s="33"/>
    </row>
    <row r="141" spans="2:20" x14ac:dyDescent="0.3">
      <c r="B141" s="32"/>
      <c r="C141" s="32"/>
      <c r="D141" s="35"/>
      <c r="E141" s="36"/>
      <c r="F141" s="32"/>
      <c r="G141" s="32"/>
      <c r="H141" s="32"/>
      <c r="I141" s="32"/>
      <c r="J141" s="32"/>
      <c r="K141" s="32"/>
      <c r="L141" s="32"/>
      <c r="M141" s="32"/>
      <c r="N141" s="33"/>
      <c r="O141" s="33"/>
      <c r="P141" s="33"/>
      <c r="Q141" s="33"/>
      <c r="R141" s="33"/>
      <c r="S141" s="33"/>
      <c r="T141" s="33"/>
    </row>
    <row r="142" spans="2:20" x14ac:dyDescent="0.3">
      <c r="B142" s="32"/>
      <c r="C142" s="32"/>
      <c r="D142" s="35"/>
      <c r="E142" s="36"/>
      <c r="F142" s="32"/>
      <c r="G142" s="32"/>
      <c r="H142" s="32"/>
      <c r="I142" s="32"/>
      <c r="J142" s="32"/>
      <c r="K142" s="32"/>
      <c r="L142" s="32"/>
      <c r="M142" s="32"/>
      <c r="N142" s="33"/>
      <c r="O142" s="33"/>
      <c r="P142" s="33"/>
      <c r="Q142" s="33"/>
      <c r="R142" s="33"/>
      <c r="S142" s="33"/>
      <c r="T142" s="33"/>
    </row>
    <row r="143" spans="2:20" x14ac:dyDescent="0.3">
      <c r="B143" s="32"/>
      <c r="C143" s="32"/>
      <c r="D143" s="35"/>
      <c r="E143" s="36"/>
      <c r="F143" s="32"/>
      <c r="G143" s="32"/>
      <c r="H143" s="32"/>
      <c r="I143" s="32"/>
      <c r="J143" s="32"/>
      <c r="K143" s="32"/>
      <c r="L143" s="32"/>
      <c r="M143" s="32"/>
      <c r="N143" s="33"/>
      <c r="O143" s="33"/>
      <c r="P143" s="33"/>
      <c r="Q143" s="33"/>
      <c r="R143" s="33"/>
      <c r="S143" s="33"/>
      <c r="T143" s="33"/>
    </row>
    <row r="144" spans="2:20" x14ac:dyDescent="0.3">
      <c r="B144" s="32"/>
      <c r="C144" s="32"/>
      <c r="D144" s="35"/>
      <c r="E144" s="36"/>
      <c r="F144" s="32"/>
      <c r="G144" s="32"/>
      <c r="H144" s="32"/>
      <c r="I144" s="32"/>
      <c r="J144" s="32"/>
      <c r="K144" s="32"/>
      <c r="L144" s="32"/>
      <c r="M144" s="32"/>
      <c r="N144" s="33"/>
      <c r="O144" s="33"/>
      <c r="P144" s="33"/>
      <c r="Q144" s="33"/>
      <c r="R144" s="33"/>
      <c r="S144" s="33"/>
      <c r="T144" s="33"/>
    </row>
    <row r="145" spans="2:20" x14ac:dyDescent="0.3">
      <c r="B145" s="32"/>
      <c r="C145" s="32"/>
      <c r="D145" s="35"/>
      <c r="E145" s="36"/>
      <c r="F145" s="32"/>
      <c r="G145" s="32"/>
      <c r="H145" s="32"/>
      <c r="I145" s="32"/>
      <c r="J145" s="32"/>
      <c r="K145" s="32"/>
      <c r="L145" s="32"/>
      <c r="M145" s="32"/>
      <c r="N145" s="33"/>
      <c r="O145" s="33"/>
      <c r="P145" s="33"/>
      <c r="Q145" s="33"/>
      <c r="R145" s="33"/>
      <c r="S145" s="33"/>
      <c r="T145" s="33"/>
    </row>
    <row r="146" spans="2:20" x14ac:dyDescent="0.3">
      <c r="B146" s="32"/>
      <c r="C146" s="32"/>
      <c r="D146" s="35"/>
      <c r="E146" s="36"/>
      <c r="F146" s="32"/>
      <c r="G146" s="32"/>
      <c r="H146" s="32"/>
      <c r="I146" s="32"/>
      <c r="J146" s="32"/>
      <c r="K146" s="32"/>
      <c r="L146" s="32"/>
      <c r="M146" s="32"/>
      <c r="N146" s="33"/>
      <c r="O146" s="33"/>
      <c r="P146" s="33"/>
      <c r="Q146" s="33"/>
      <c r="R146" s="33"/>
      <c r="S146" s="33"/>
      <c r="T146" s="33"/>
    </row>
    <row r="147" spans="2:20" x14ac:dyDescent="0.3">
      <c r="B147" s="32"/>
      <c r="C147" s="32"/>
      <c r="D147" s="35"/>
      <c r="E147" s="36"/>
      <c r="F147" s="32"/>
      <c r="G147" s="32"/>
      <c r="H147" s="32"/>
      <c r="I147" s="32"/>
      <c r="J147" s="32"/>
      <c r="K147" s="32"/>
      <c r="L147" s="32"/>
      <c r="M147" s="32"/>
      <c r="N147" s="33"/>
      <c r="O147" s="33"/>
      <c r="P147" s="33"/>
      <c r="Q147" s="33"/>
      <c r="R147" s="33"/>
      <c r="S147" s="33"/>
      <c r="T147" s="33"/>
    </row>
    <row r="148" spans="2:20" x14ac:dyDescent="0.3">
      <c r="B148" s="32"/>
      <c r="C148" s="32"/>
      <c r="D148" s="35"/>
      <c r="E148" s="36"/>
      <c r="F148" s="32"/>
      <c r="G148" s="32"/>
      <c r="H148" s="32"/>
      <c r="I148" s="32"/>
      <c r="J148" s="32"/>
      <c r="K148" s="32"/>
      <c r="L148" s="32"/>
      <c r="M148" s="32"/>
      <c r="N148" s="33"/>
      <c r="O148" s="33"/>
      <c r="P148" s="33"/>
      <c r="Q148" s="33"/>
      <c r="R148" s="33"/>
      <c r="S148" s="33"/>
      <c r="T148" s="33"/>
    </row>
    <row r="149" spans="2:20" x14ac:dyDescent="0.3">
      <c r="B149" s="32"/>
      <c r="C149" s="32"/>
      <c r="D149" s="35"/>
      <c r="E149" s="36"/>
      <c r="F149" s="32"/>
      <c r="G149" s="32"/>
      <c r="H149" s="32"/>
      <c r="I149" s="32"/>
      <c r="J149" s="32"/>
      <c r="K149" s="32"/>
      <c r="L149" s="32"/>
      <c r="M149" s="32"/>
      <c r="N149" s="33"/>
      <c r="O149" s="33"/>
      <c r="P149" s="33"/>
      <c r="Q149" s="33"/>
      <c r="R149" s="33"/>
      <c r="S149" s="33"/>
      <c r="T149" s="33"/>
    </row>
    <row r="150" spans="2:20" x14ac:dyDescent="0.3">
      <c r="B150" s="32"/>
      <c r="C150" s="32"/>
      <c r="D150" s="35"/>
      <c r="E150" s="36"/>
      <c r="F150" s="32"/>
      <c r="G150" s="32"/>
      <c r="H150" s="32"/>
      <c r="I150" s="32"/>
      <c r="J150" s="32"/>
      <c r="K150" s="32"/>
      <c r="L150" s="32"/>
      <c r="M150" s="32"/>
      <c r="N150" s="33"/>
      <c r="O150" s="33"/>
      <c r="P150" s="33"/>
      <c r="Q150" s="33"/>
      <c r="R150" s="33"/>
      <c r="S150" s="33"/>
      <c r="T150" s="33"/>
    </row>
    <row r="151" spans="2:20" x14ac:dyDescent="0.3">
      <c r="B151" s="32"/>
      <c r="C151" s="32"/>
      <c r="D151" s="35"/>
      <c r="E151" s="36"/>
      <c r="F151" s="32"/>
      <c r="G151" s="32"/>
      <c r="H151" s="32"/>
      <c r="I151" s="32"/>
      <c r="J151" s="32"/>
      <c r="K151" s="32"/>
      <c r="L151" s="32"/>
      <c r="M151" s="32"/>
      <c r="N151" s="33"/>
      <c r="O151" s="33"/>
      <c r="P151" s="33"/>
      <c r="Q151" s="33"/>
      <c r="R151" s="33"/>
      <c r="S151" s="33"/>
      <c r="T151" s="33"/>
    </row>
    <row r="152" spans="2:20" x14ac:dyDescent="0.3">
      <c r="B152" s="32"/>
      <c r="C152" s="32"/>
      <c r="D152" s="35"/>
      <c r="E152" s="36"/>
      <c r="F152" s="32"/>
      <c r="G152" s="32"/>
      <c r="H152" s="32"/>
      <c r="I152" s="32"/>
      <c r="J152" s="32"/>
      <c r="K152" s="32"/>
      <c r="L152" s="32"/>
      <c r="M152" s="32"/>
      <c r="N152" s="33"/>
      <c r="O152" s="33"/>
      <c r="P152" s="33"/>
      <c r="Q152" s="33"/>
      <c r="R152" s="33"/>
      <c r="S152" s="33"/>
      <c r="T152" s="33"/>
    </row>
    <row r="153" spans="2:20" x14ac:dyDescent="0.3">
      <c r="B153" s="32"/>
      <c r="C153" s="32"/>
      <c r="D153" s="35"/>
      <c r="E153" s="36"/>
      <c r="F153" s="32"/>
      <c r="G153" s="32"/>
      <c r="H153" s="32"/>
      <c r="I153" s="32"/>
      <c r="J153" s="32"/>
      <c r="K153" s="32"/>
      <c r="L153" s="32"/>
      <c r="M153" s="32"/>
      <c r="N153" s="33"/>
      <c r="O153" s="33"/>
      <c r="P153" s="33"/>
      <c r="Q153" s="33"/>
      <c r="R153" s="33"/>
      <c r="S153" s="33"/>
      <c r="T153" s="33"/>
    </row>
    <row r="154" spans="2:20" x14ac:dyDescent="0.3">
      <c r="B154" s="32"/>
      <c r="C154" s="32"/>
      <c r="D154" s="35"/>
      <c r="E154" s="36"/>
      <c r="F154" s="32"/>
      <c r="G154" s="32"/>
      <c r="H154" s="32"/>
      <c r="I154" s="32"/>
      <c r="J154" s="32"/>
      <c r="K154" s="32"/>
      <c r="L154" s="32"/>
      <c r="M154" s="32"/>
      <c r="N154" s="33"/>
      <c r="O154" s="33"/>
      <c r="P154" s="33"/>
      <c r="Q154" s="33"/>
      <c r="R154" s="33"/>
      <c r="S154" s="33"/>
      <c r="T154" s="33"/>
    </row>
    <row r="155" spans="2:20" x14ac:dyDescent="0.3">
      <c r="B155" s="32"/>
      <c r="C155" s="32"/>
      <c r="D155" s="35"/>
      <c r="E155" s="36"/>
      <c r="F155" s="32"/>
      <c r="G155" s="32"/>
      <c r="H155" s="32"/>
      <c r="I155" s="32"/>
      <c r="J155" s="32"/>
      <c r="K155" s="32"/>
      <c r="L155" s="32"/>
      <c r="M155" s="32"/>
      <c r="N155" s="33"/>
      <c r="O155" s="33"/>
      <c r="P155" s="33"/>
      <c r="Q155" s="33"/>
      <c r="R155" s="33"/>
      <c r="S155" s="33"/>
      <c r="T155" s="33"/>
    </row>
    <row r="156" spans="2:20" x14ac:dyDescent="0.3">
      <c r="B156" s="32"/>
      <c r="C156" s="32"/>
      <c r="D156" s="35"/>
      <c r="E156" s="36"/>
      <c r="F156" s="32"/>
      <c r="G156" s="32"/>
      <c r="H156" s="32"/>
      <c r="I156" s="32"/>
      <c r="J156" s="32"/>
      <c r="K156" s="32"/>
      <c r="L156" s="32"/>
      <c r="M156" s="32"/>
      <c r="N156" s="33"/>
      <c r="O156" s="33"/>
      <c r="P156" s="33"/>
      <c r="Q156" s="33"/>
      <c r="R156" s="33"/>
      <c r="S156" s="33"/>
      <c r="T156" s="33"/>
    </row>
    <row r="157" spans="2:20" x14ac:dyDescent="0.3">
      <c r="B157" s="32"/>
      <c r="C157" s="32"/>
      <c r="D157" s="35"/>
      <c r="E157" s="36"/>
      <c r="F157" s="32"/>
      <c r="G157" s="32"/>
      <c r="H157" s="32"/>
      <c r="I157" s="32"/>
      <c r="J157" s="32"/>
      <c r="K157" s="32"/>
      <c r="L157" s="32"/>
      <c r="M157" s="32"/>
      <c r="N157" s="33"/>
      <c r="O157" s="33"/>
      <c r="P157" s="33"/>
      <c r="Q157" s="33"/>
      <c r="R157" s="33"/>
      <c r="S157" s="33"/>
      <c r="T157" s="33"/>
    </row>
  </sheetData>
  <mergeCells count="1">
    <mergeCell ref="B2:E2"/>
  </mergeCells>
  <phoneticPr fontId="65" type="noConversion"/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Z1001"/>
  <sheetViews>
    <sheetView workbookViewId="0">
      <selection activeCell="G31" sqref="G31"/>
    </sheetView>
  </sheetViews>
  <sheetFormatPr defaultColWidth="10.08203125" defaultRowHeight="15" customHeight="1" x14ac:dyDescent="0.35"/>
  <cols>
    <col min="1" max="1" width="10.08203125" style="13"/>
    <col min="2" max="2" width="9.9140625" style="13" customWidth="1"/>
    <col min="3" max="4" width="10" style="13" customWidth="1"/>
    <col min="5" max="5" width="9.1640625" style="13" customWidth="1"/>
    <col min="6" max="6" width="6.1640625" style="13" customWidth="1"/>
    <col min="7" max="25" width="6.08203125" style="13" customWidth="1"/>
    <col min="26" max="16384" width="10.08203125" style="13"/>
  </cols>
  <sheetData>
    <row r="2" spans="2:26" ht="18.75" customHeight="1" x14ac:dyDescent="0.35">
      <c r="B2" s="227" t="s">
        <v>100</v>
      </c>
      <c r="C2" s="228"/>
      <c r="D2" s="228"/>
      <c r="E2" s="228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2:26" ht="18.75" customHeight="1" x14ac:dyDescent="0.35">
      <c r="B3" s="229" t="s">
        <v>19</v>
      </c>
      <c r="C3" s="230"/>
      <c r="D3" s="230"/>
      <c r="E3" s="229" t="s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2:26" ht="37.5" customHeight="1" x14ac:dyDescent="0.35">
      <c r="B4" s="15" t="s">
        <v>20</v>
      </c>
      <c r="C4" s="15" t="s">
        <v>21</v>
      </c>
      <c r="D4" s="15" t="s">
        <v>22</v>
      </c>
      <c r="E4" s="230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2:26" ht="18.75" customHeight="1" x14ac:dyDescent="0.35">
      <c r="B5" s="16">
        <v>0.17499999999999999</v>
      </c>
      <c r="C5" s="16">
        <v>0.03</v>
      </c>
      <c r="D5" s="16">
        <v>0.01</v>
      </c>
      <c r="E5" s="16">
        <f>SUM(B5:D5)</f>
        <v>0.215</v>
      </c>
      <c r="F5" s="1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 ht="18.7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2:26" ht="18.75" customHeight="1" x14ac:dyDescent="0.35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2:26" ht="18.75" customHeight="1" x14ac:dyDescent="0.35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2:26" ht="18.75" customHeight="1" x14ac:dyDescent="0.35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2:26" ht="18.75" customHeight="1" x14ac:dyDescent="0.35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2:26" ht="18.75" customHeight="1" x14ac:dyDescent="0.3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2:26" ht="18.75" customHeight="1" x14ac:dyDescent="0.3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2:26" ht="18.75" customHeight="1" x14ac:dyDescent="0.35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2:26" ht="18.75" customHeight="1" x14ac:dyDescent="0.35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2:26" ht="18.75" customHeight="1" x14ac:dyDescent="0.35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2:26" ht="18.75" customHeight="1" x14ac:dyDescent="0.3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2:26" ht="18.75" customHeight="1" x14ac:dyDescent="0.3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2:26" ht="18.75" customHeight="1" x14ac:dyDescent="0.35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2:26" ht="18.75" customHeight="1" x14ac:dyDescent="0.35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2:26" ht="18.75" customHeight="1" x14ac:dyDescent="0.3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2:26" ht="18.75" customHeight="1" x14ac:dyDescent="0.3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2:26" ht="18.75" customHeight="1" x14ac:dyDescent="0.3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2:26" ht="18.75" customHeight="1" x14ac:dyDescent="0.3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2:26" ht="18.75" customHeight="1" x14ac:dyDescent="0.3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2:26" ht="18.75" customHeight="1" x14ac:dyDescent="0.3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2:26" ht="18.75" customHeight="1" x14ac:dyDescent="0.3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2:26" ht="18.75" customHeight="1" x14ac:dyDescent="0.3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2:26" ht="18.7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2:26" ht="18.75" customHeight="1" x14ac:dyDescent="0.3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26" ht="18.75" customHeight="1" x14ac:dyDescent="0.3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26" ht="18.75" customHeight="1" x14ac:dyDescent="0.3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2:26" ht="18.75" customHeight="1" x14ac:dyDescent="0.3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2:26" ht="18.75" customHeight="1" x14ac:dyDescent="0.3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2:26" ht="18.75" customHeight="1" x14ac:dyDescent="0.3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2:26" ht="18.75" customHeight="1" x14ac:dyDescent="0.3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2:26" ht="18.75" customHeight="1" x14ac:dyDescent="0.3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2:26" ht="18.75" customHeight="1" x14ac:dyDescent="0.3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8.75" customHeight="1" x14ac:dyDescent="0.35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2:26" ht="18.75" customHeight="1" x14ac:dyDescent="0.3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2:26" ht="18.75" customHeight="1" x14ac:dyDescent="0.35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2:26" ht="18.75" customHeight="1" x14ac:dyDescent="0.35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2:26" ht="18.75" customHeight="1" x14ac:dyDescent="0.35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2:26" ht="18.75" customHeight="1" x14ac:dyDescent="0.35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2:26" ht="18.75" customHeight="1" x14ac:dyDescent="0.3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2:26" ht="18.75" customHeight="1" x14ac:dyDescent="0.3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2:26" ht="18.75" customHeight="1" x14ac:dyDescent="0.35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2:26" ht="18.75" customHeight="1" x14ac:dyDescent="0.3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2:26" ht="18.75" customHeight="1" x14ac:dyDescent="0.35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2:26" ht="18.75" customHeight="1" x14ac:dyDescent="0.35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2:26" ht="18.75" customHeight="1" x14ac:dyDescent="0.3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2:26" ht="18.75" customHeight="1" x14ac:dyDescent="0.3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2:26" ht="18.75" customHeight="1" x14ac:dyDescent="0.3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2:26" ht="18.75" customHeight="1" x14ac:dyDescent="0.3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2:26" ht="18.75" customHeight="1" x14ac:dyDescent="0.3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2:26" ht="18.75" customHeight="1" x14ac:dyDescent="0.35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2:26" ht="18.75" customHeight="1" x14ac:dyDescent="0.3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2:26" ht="18.75" customHeight="1" x14ac:dyDescent="0.35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2:26" ht="18.75" customHeight="1" x14ac:dyDescent="0.35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2:26" ht="18.75" customHeight="1" x14ac:dyDescent="0.35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2:26" ht="18.75" customHeight="1" x14ac:dyDescent="0.3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2:26" ht="18.75" customHeight="1" x14ac:dyDescent="0.3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2:26" ht="18.75" customHeight="1" x14ac:dyDescent="0.3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2:26" ht="18.75" customHeight="1" x14ac:dyDescent="0.3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2:26" ht="18.75" customHeight="1" x14ac:dyDescent="0.35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2:26" ht="18.75" customHeight="1" x14ac:dyDescent="0.3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2:26" ht="18.75" customHeight="1" x14ac:dyDescent="0.3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2:26" ht="18.75" customHeight="1" x14ac:dyDescent="0.3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2:26" ht="18.75" customHeight="1" x14ac:dyDescent="0.3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2:26" ht="18.75" customHeight="1" x14ac:dyDescent="0.3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2:26" ht="18.75" customHeight="1" x14ac:dyDescent="0.3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2:26" ht="18.75" customHeight="1" x14ac:dyDescent="0.3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2:26" ht="18.75" customHeight="1" x14ac:dyDescent="0.35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2:26" ht="18.75" customHeight="1" x14ac:dyDescent="0.35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2:26" ht="18.75" customHeight="1" x14ac:dyDescent="0.35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2:26" ht="18.75" customHeight="1" x14ac:dyDescent="0.35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2:26" ht="18.75" customHeight="1" x14ac:dyDescent="0.35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2:26" ht="18.75" customHeight="1" x14ac:dyDescent="0.35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2:26" ht="18.75" customHeight="1" x14ac:dyDescent="0.3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2:26" ht="18.75" customHeight="1" x14ac:dyDescent="0.35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2:26" ht="18.75" customHeight="1" x14ac:dyDescent="0.35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2:26" ht="18.75" customHeight="1" x14ac:dyDescent="0.35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2:26" ht="18.75" customHeight="1" x14ac:dyDescent="0.35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2:26" ht="18.75" customHeight="1" x14ac:dyDescent="0.35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2:26" ht="18.75" customHeight="1" x14ac:dyDescent="0.35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2:26" ht="18.75" customHeight="1" x14ac:dyDescent="0.35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2:26" ht="18.75" customHeight="1" x14ac:dyDescent="0.35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2:26" ht="18.75" customHeight="1" x14ac:dyDescent="0.35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2:26" ht="18.75" customHeight="1" x14ac:dyDescent="0.35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2:26" ht="18.75" customHeight="1" x14ac:dyDescent="0.35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2:26" ht="18.75" customHeight="1" x14ac:dyDescent="0.35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2:26" ht="18.75" customHeight="1" x14ac:dyDescent="0.35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2:26" ht="18.75" customHeight="1" x14ac:dyDescent="0.35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2:26" ht="18.75" customHeight="1" x14ac:dyDescent="0.35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2:26" ht="18.75" customHeight="1" x14ac:dyDescent="0.35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2:26" ht="18.75" customHeight="1" x14ac:dyDescent="0.35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2:26" ht="18.75" customHeight="1" x14ac:dyDescent="0.35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2:26" ht="18.75" customHeight="1" x14ac:dyDescent="0.35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2:26" ht="18.75" customHeight="1" x14ac:dyDescent="0.35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2:26" ht="18.75" customHeight="1" x14ac:dyDescent="0.35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2:26" ht="18.75" customHeight="1" x14ac:dyDescent="0.35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2:26" ht="18.75" customHeight="1" x14ac:dyDescent="0.35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2:26" ht="18.75" customHeight="1" x14ac:dyDescent="0.35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2:26" ht="18.75" customHeight="1" x14ac:dyDescent="0.35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2:26" ht="18.75" customHeight="1" x14ac:dyDescent="0.35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2:26" ht="18.75" customHeight="1" x14ac:dyDescent="0.35"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2:26" ht="18.75" customHeight="1" x14ac:dyDescent="0.35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2:26" ht="18.75" customHeight="1" x14ac:dyDescent="0.35"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2:26" ht="18.75" customHeight="1" x14ac:dyDescent="0.35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2:26" ht="18.75" customHeight="1" x14ac:dyDescent="0.35"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2:26" ht="18.75" customHeight="1" x14ac:dyDescent="0.35"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2:26" ht="18.75" customHeight="1" x14ac:dyDescent="0.35"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2:26" ht="18.75" customHeight="1" x14ac:dyDescent="0.35"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2:26" ht="18.75" customHeight="1" x14ac:dyDescent="0.35"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2:26" ht="18.75" customHeight="1" x14ac:dyDescent="0.35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2:26" ht="18.75" customHeight="1" x14ac:dyDescent="0.35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2:26" ht="18.75" customHeight="1" x14ac:dyDescent="0.35"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2:26" ht="18.75" customHeight="1" x14ac:dyDescent="0.35"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2:26" ht="18.75" customHeight="1" x14ac:dyDescent="0.35"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2:26" ht="18.75" customHeight="1" x14ac:dyDescent="0.35"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2:26" ht="18.75" customHeight="1" x14ac:dyDescent="0.35"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2:26" ht="18.75" customHeight="1" x14ac:dyDescent="0.35"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2:26" ht="18.75" customHeight="1" x14ac:dyDescent="0.35"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2:26" ht="18.75" customHeight="1" x14ac:dyDescent="0.35"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2:26" ht="18.75" customHeight="1" x14ac:dyDescent="0.35"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2:26" ht="18.75" customHeight="1" x14ac:dyDescent="0.35"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2:26" ht="18.75" customHeight="1" x14ac:dyDescent="0.35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2:26" ht="18.75" customHeight="1" x14ac:dyDescent="0.35"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2:26" ht="18.75" customHeight="1" x14ac:dyDescent="0.35"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2:26" ht="18.75" customHeight="1" x14ac:dyDescent="0.35"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2:26" ht="18.75" customHeight="1" x14ac:dyDescent="0.35"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2:26" ht="18.75" customHeight="1" x14ac:dyDescent="0.35"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2:26" ht="18.75" customHeight="1" x14ac:dyDescent="0.35"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2:26" ht="18.75" customHeight="1" x14ac:dyDescent="0.35"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2:26" ht="18.75" customHeight="1" x14ac:dyDescent="0.35"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2:26" ht="18.75" customHeight="1" x14ac:dyDescent="0.35"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2:26" ht="18.75" customHeight="1" x14ac:dyDescent="0.35"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2:26" ht="18.75" customHeight="1" x14ac:dyDescent="0.35"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2:26" ht="18.75" customHeight="1" x14ac:dyDescent="0.35"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2:26" ht="18.75" customHeight="1" x14ac:dyDescent="0.35"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2:26" ht="18.75" customHeight="1" x14ac:dyDescent="0.35"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2:26" ht="18.75" customHeight="1" x14ac:dyDescent="0.35"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2:26" ht="18.75" customHeight="1" x14ac:dyDescent="0.35"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2:26" ht="18.75" customHeight="1" x14ac:dyDescent="0.35"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2:26" ht="18.75" customHeight="1" x14ac:dyDescent="0.35"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2:26" ht="18.75" customHeight="1" x14ac:dyDescent="0.35"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2:26" ht="18.75" customHeight="1" x14ac:dyDescent="0.35"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2:26" ht="18.75" customHeight="1" x14ac:dyDescent="0.35"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2:26" ht="18.75" customHeight="1" x14ac:dyDescent="0.35"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2:26" ht="18.75" customHeight="1" x14ac:dyDescent="0.35"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2:26" ht="18.75" customHeight="1" x14ac:dyDescent="0.35"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2:26" ht="18.75" customHeight="1" x14ac:dyDescent="0.35"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2:26" ht="18.75" customHeight="1" x14ac:dyDescent="0.35"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2:26" ht="18.75" customHeight="1" x14ac:dyDescent="0.35"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2:26" ht="18.75" customHeight="1" x14ac:dyDescent="0.35"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2:26" ht="18.75" customHeight="1" x14ac:dyDescent="0.35"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2:26" ht="18.75" customHeight="1" x14ac:dyDescent="0.35"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2:26" ht="18.75" customHeight="1" x14ac:dyDescent="0.35"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2:26" ht="18.75" customHeight="1" x14ac:dyDescent="0.35"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2:26" ht="18.75" customHeight="1" x14ac:dyDescent="0.35"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2:26" ht="18.75" customHeight="1" x14ac:dyDescent="0.35"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2:26" ht="18.75" customHeight="1" x14ac:dyDescent="0.35"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2:26" ht="18.75" customHeight="1" x14ac:dyDescent="0.35"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2:26" ht="18.75" customHeight="1" x14ac:dyDescent="0.35"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2:26" ht="18.75" customHeight="1" x14ac:dyDescent="0.35"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2:26" ht="18.75" customHeight="1" x14ac:dyDescent="0.35"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2:26" ht="18.75" customHeight="1" x14ac:dyDescent="0.35"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2:26" ht="18.75" customHeight="1" x14ac:dyDescent="0.35"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2:26" ht="18.75" customHeight="1" x14ac:dyDescent="0.35"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2:26" ht="18.75" customHeight="1" x14ac:dyDescent="0.35"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2:26" ht="18.75" customHeight="1" x14ac:dyDescent="0.35"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2:26" ht="18.75" customHeight="1" x14ac:dyDescent="0.35"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2:26" ht="18.75" customHeight="1" x14ac:dyDescent="0.35"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2:26" ht="18.75" customHeight="1" x14ac:dyDescent="0.35"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2:26" ht="18.75" customHeight="1" x14ac:dyDescent="0.35"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2:26" ht="18.75" customHeight="1" x14ac:dyDescent="0.35"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2:26" ht="18.75" customHeight="1" x14ac:dyDescent="0.35"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2:26" ht="18.75" customHeight="1" x14ac:dyDescent="0.35"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2:26" ht="18.75" customHeight="1" x14ac:dyDescent="0.35"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2:26" ht="18.75" customHeight="1" x14ac:dyDescent="0.35"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2:26" ht="18.75" customHeight="1" x14ac:dyDescent="0.35"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2:26" ht="18.75" customHeight="1" x14ac:dyDescent="0.35"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2:26" ht="18.75" customHeight="1" x14ac:dyDescent="0.35"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2:26" ht="18.75" customHeight="1" x14ac:dyDescent="0.35"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2:26" ht="18.75" customHeight="1" x14ac:dyDescent="0.35"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2:26" ht="18.75" customHeight="1" x14ac:dyDescent="0.35"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2:26" ht="18.75" customHeight="1" x14ac:dyDescent="0.35"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2:26" ht="18.75" customHeight="1" x14ac:dyDescent="0.35"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2:26" ht="18.75" customHeight="1" x14ac:dyDescent="0.35"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2:26" ht="18.75" customHeight="1" x14ac:dyDescent="0.35"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2:26" ht="18.75" customHeight="1" x14ac:dyDescent="0.35"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2:26" ht="18.75" customHeight="1" x14ac:dyDescent="0.35"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2:26" ht="18.75" customHeight="1" x14ac:dyDescent="0.35"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2:26" ht="18.75" customHeight="1" x14ac:dyDescent="0.35"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2:26" ht="18.75" customHeight="1" x14ac:dyDescent="0.35"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2:26" ht="18.75" customHeight="1" x14ac:dyDescent="0.35"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2:26" ht="18.75" customHeight="1" x14ac:dyDescent="0.35"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2:26" ht="18.75" customHeight="1" x14ac:dyDescent="0.35"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2:26" ht="18.75" customHeight="1" x14ac:dyDescent="0.35"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2:26" ht="18.75" customHeight="1" x14ac:dyDescent="0.35"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2:26" ht="18.75" customHeight="1" x14ac:dyDescent="0.35"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2:26" ht="18.75" customHeight="1" x14ac:dyDescent="0.35"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2:26" ht="18.75" customHeight="1" x14ac:dyDescent="0.35"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2:26" ht="18.75" customHeight="1" x14ac:dyDescent="0.35"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2:26" ht="18.75" customHeight="1" x14ac:dyDescent="0.35"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2:26" ht="18.75" customHeight="1" x14ac:dyDescent="0.35"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2:26" ht="18.75" customHeight="1" x14ac:dyDescent="0.35"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2:26" ht="18.75" customHeight="1" x14ac:dyDescent="0.35"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2:26" ht="18.75" customHeight="1" x14ac:dyDescent="0.35"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2:26" ht="18.75" customHeight="1" x14ac:dyDescent="0.35"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2:26" ht="18.75" customHeight="1" x14ac:dyDescent="0.35"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2:26" ht="18.75" customHeight="1" x14ac:dyDescent="0.35"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2:26" ht="18.75" customHeight="1" x14ac:dyDescent="0.35"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2:26" ht="18.75" customHeight="1" x14ac:dyDescent="0.35"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2:26" ht="18.75" customHeight="1" x14ac:dyDescent="0.35"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2:26" ht="18.75" customHeight="1" x14ac:dyDescent="0.35"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2:26" ht="18.75" customHeight="1" x14ac:dyDescent="0.35"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2:26" ht="18.75" customHeight="1" x14ac:dyDescent="0.35"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2:26" ht="18.75" customHeight="1" x14ac:dyDescent="0.35"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2:26" ht="18.75" customHeight="1" x14ac:dyDescent="0.35"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2:26" ht="18.75" customHeight="1" x14ac:dyDescent="0.35"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2:26" ht="18.75" customHeight="1" x14ac:dyDescent="0.35"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2:26" ht="15.75" customHeight="1" x14ac:dyDescent="0.35"/>
    <row r="223" spans="2:26" ht="15.75" customHeight="1" x14ac:dyDescent="0.35"/>
    <row r="224" spans="2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3">
    <mergeCell ref="B2:E2"/>
    <mergeCell ref="B3:D3"/>
    <mergeCell ref="E3:E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45"/>
  <sheetViews>
    <sheetView workbookViewId="0">
      <selection activeCell="E37" sqref="E37"/>
    </sheetView>
  </sheetViews>
  <sheetFormatPr defaultColWidth="10.08203125" defaultRowHeight="18" x14ac:dyDescent="0.35"/>
  <cols>
    <col min="1" max="1" width="15.1640625" customWidth="1"/>
    <col min="2" max="2" width="13.9140625" customWidth="1"/>
    <col min="3" max="14" width="10.1640625" customWidth="1"/>
    <col min="15" max="15" width="10.08203125" customWidth="1"/>
    <col min="16" max="26" width="6.08203125" customWidth="1"/>
  </cols>
  <sheetData>
    <row r="1" spans="1:26" ht="24.6" x14ac:dyDescent="0.35">
      <c r="A1" s="233" t="s">
        <v>96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235" t="s">
        <v>19</v>
      </c>
      <c r="B2" s="236" t="s">
        <v>46</v>
      </c>
      <c r="C2" s="237" t="s">
        <v>23</v>
      </c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9"/>
      <c r="O2" s="231" t="s">
        <v>47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232"/>
      <c r="B3" s="232"/>
      <c r="C3" s="4" t="s">
        <v>34</v>
      </c>
      <c r="D3" s="4" t="s">
        <v>35</v>
      </c>
      <c r="E3" s="4" t="s">
        <v>36</v>
      </c>
      <c r="F3" s="4" t="s">
        <v>37</v>
      </c>
      <c r="G3" s="4" t="s">
        <v>28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23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5" t="s">
        <v>48</v>
      </c>
      <c r="B4" s="5"/>
      <c r="C4" s="6" t="e">
        <f>'Operating Expenses'!#REF!</f>
        <v>#REF!</v>
      </c>
      <c r="D4" s="6" t="e">
        <f>'Operating Expenses'!#REF!</f>
        <v>#REF!</v>
      </c>
      <c r="E4" s="6" t="e">
        <f>'Operating Expenses'!#REF!</f>
        <v>#REF!</v>
      </c>
      <c r="F4" s="6" t="e">
        <f>'Operating Expenses'!#REF!</f>
        <v>#REF!</v>
      </c>
      <c r="G4" s="6" t="e">
        <f>'Operating Expenses'!#REF!</f>
        <v>#REF!</v>
      </c>
      <c r="H4" s="6" t="e">
        <f>'Operating Expenses'!#REF!</f>
        <v>#REF!</v>
      </c>
      <c r="I4" s="6" t="e">
        <f>'Operating Expenses'!#REF!</f>
        <v>#REF!</v>
      </c>
      <c r="J4" s="6" t="e">
        <f>'Operating Expenses'!#REF!</f>
        <v>#REF!</v>
      </c>
      <c r="K4" s="6" t="e">
        <f>'Operating Expenses'!#REF!</f>
        <v>#REF!</v>
      </c>
      <c r="L4" s="6" t="e">
        <f>'Operating Expenses'!#REF!</f>
        <v>#REF!</v>
      </c>
      <c r="M4" s="6" t="e">
        <f>'Operating Expenses'!#REF!</f>
        <v>#REF!</v>
      </c>
      <c r="N4" s="6">
        <f>'Operating Expenses'!D13</f>
        <v>31893000</v>
      </c>
      <c r="O4" s="6" t="e">
        <f t="shared" ref="O4:O9" si="0">SUM(C4:N4)</f>
        <v>#REF!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idden="1" x14ac:dyDescent="0.35">
      <c r="A5" s="7" t="s">
        <v>49</v>
      </c>
      <c r="B5" s="2"/>
      <c r="C5" s="8" t="e">
        <f t="shared" ref="C5:N5" si="1">C4*$B$5</f>
        <v>#REF!</v>
      </c>
      <c r="D5" s="8" t="e">
        <f t="shared" si="1"/>
        <v>#REF!</v>
      </c>
      <c r="E5" s="8" t="e">
        <f t="shared" si="1"/>
        <v>#REF!</v>
      </c>
      <c r="F5" s="8" t="e">
        <f t="shared" si="1"/>
        <v>#REF!</v>
      </c>
      <c r="G5" s="8" t="e">
        <f t="shared" si="1"/>
        <v>#REF!</v>
      </c>
      <c r="H5" s="8" t="e">
        <f t="shared" si="1"/>
        <v>#REF!</v>
      </c>
      <c r="I5" s="8" t="e">
        <f t="shared" si="1"/>
        <v>#REF!</v>
      </c>
      <c r="J5" s="8" t="e">
        <f t="shared" si="1"/>
        <v>#REF!</v>
      </c>
      <c r="K5" s="8" t="e">
        <f t="shared" si="1"/>
        <v>#REF!</v>
      </c>
      <c r="L5" s="8" t="e">
        <f t="shared" si="1"/>
        <v>#REF!</v>
      </c>
      <c r="M5" s="8" t="e">
        <f t="shared" si="1"/>
        <v>#REF!</v>
      </c>
      <c r="N5" s="8">
        <f t="shared" si="1"/>
        <v>0</v>
      </c>
      <c r="O5" s="8" t="e">
        <f t="shared" si="0"/>
        <v>#REF!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idden="1" x14ac:dyDescent="0.35">
      <c r="A6" s="7" t="s">
        <v>50</v>
      </c>
      <c r="B6" s="2"/>
      <c r="C6" s="9" t="e">
        <f t="shared" ref="C6:N6" si="2">C4*$B$6</f>
        <v>#REF!</v>
      </c>
      <c r="D6" s="9" t="e">
        <f t="shared" si="2"/>
        <v>#REF!</v>
      </c>
      <c r="E6" s="9" t="e">
        <f t="shared" si="2"/>
        <v>#REF!</v>
      </c>
      <c r="F6" s="9" t="e">
        <f t="shared" si="2"/>
        <v>#REF!</v>
      </c>
      <c r="G6" s="9" t="e">
        <f t="shared" si="2"/>
        <v>#REF!</v>
      </c>
      <c r="H6" s="9" t="e">
        <f t="shared" si="2"/>
        <v>#REF!</v>
      </c>
      <c r="I6" s="9" t="e">
        <f t="shared" si="2"/>
        <v>#REF!</v>
      </c>
      <c r="J6" s="9" t="e">
        <f t="shared" si="2"/>
        <v>#REF!</v>
      </c>
      <c r="K6" s="9" t="e">
        <f t="shared" si="2"/>
        <v>#REF!</v>
      </c>
      <c r="L6" s="9" t="e">
        <f t="shared" si="2"/>
        <v>#REF!</v>
      </c>
      <c r="M6" s="9" t="e">
        <f t="shared" si="2"/>
        <v>#REF!</v>
      </c>
      <c r="N6" s="9">
        <f t="shared" si="2"/>
        <v>0</v>
      </c>
      <c r="O6" s="9" t="e">
        <f t="shared" si="0"/>
        <v>#REF!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idden="1" x14ac:dyDescent="0.35">
      <c r="A7" s="7" t="s">
        <v>51</v>
      </c>
      <c r="B7" s="2"/>
      <c r="C7" s="9" t="e">
        <f t="shared" ref="C7:N7" si="3">C4*$B$7</f>
        <v>#REF!</v>
      </c>
      <c r="D7" s="9" t="e">
        <f t="shared" si="3"/>
        <v>#REF!</v>
      </c>
      <c r="E7" s="9" t="e">
        <f t="shared" si="3"/>
        <v>#REF!</v>
      </c>
      <c r="F7" s="9" t="e">
        <f t="shared" si="3"/>
        <v>#REF!</v>
      </c>
      <c r="G7" s="9" t="e">
        <f t="shared" si="3"/>
        <v>#REF!</v>
      </c>
      <c r="H7" s="9" t="e">
        <f t="shared" si="3"/>
        <v>#REF!</v>
      </c>
      <c r="I7" s="9" t="e">
        <f t="shared" si="3"/>
        <v>#REF!</v>
      </c>
      <c r="J7" s="9" t="e">
        <f t="shared" si="3"/>
        <v>#REF!</v>
      </c>
      <c r="K7" s="9" t="e">
        <f t="shared" si="3"/>
        <v>#REF!</v>
      </c>
      <c r="L7" s="9" t="e">
        <f t="shared" si="3"/>
        <v>#REF!</v>
      </c>
      <c r="M7" s="9" t="e">
        <f t="shared" si="3"/>
        <v>#REF!</v>
      </c>
      <c r="N7" s="9">
        <f t="shared" si="3"/>
        <v>0</v>
      </c>
      <c r="O7" s="9" t="e">
        <f t="shared" si="0"/>
        <v>#REF!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 x14ac:dyDescent="0.35">
      <c r="A8" s="7" t="s">
        <v>52</v>
      </c>
      <c r="B8" s="2"/>
      <c r="C8" s="9" t="e">
        <f t="shared" ref="C8:N8" si="4">C4*$B$8</f>
        <v>#REF!</v>
      </c>
      <c r="D8" s="9" t="e">
        <f t="shared" si="4"/>
        <v>#REF!</v>
      </c>
      <c r="E8" s="9" t="e">
        <f t="shared" si="4"/>
        <v>#REF!</v>
      </c>
      <c r="F8" s="9" t="e">
        <f t="shared" si="4"/>
        <v>#REF!</v>
      </c>
      <c r="G8" s="9" t="e">
        <f t="shared" si="4"/>
        <v>#REF!</v>
      </c>
      <c r="H8" s="9" t="e">
        <f t="shared" si="4"/>
        <v>#REF!</v>
      </c>
      <c r="I8" s="9" t="e">
        <f t="shared" si="4"/>
        <v>#REF!</v>
      </c>
      <c r="J8" s="9" t="e">
        <f t="shared" si="4"/>
        <v>#REF!</v>
      </c>
      <c r="K8" s="9" t="e">
        <f t="shared" si="4"/>
        <v>#REF!</v>
      </c>
      <c r="L8" s="9" t="e">
        <f t="shared" si="4"/>
        <v>#REF!</v>
      </c>
      <c r="M8" s="9" t="e">
        <f t="shared" si="4"/>
        <v>#REF!</v>
      </c>
      <c r="N8" s="9">
        <f t="shared" si="4"/>
        <v>0</v>
      </c>
      <c r="O8" s="9" t="e">
        <f t="shared" si="0"/>
        <v>#REF!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idden="1" x14ac:dyDescent="0.35">
      <c r="A9" s="7" t="s">
        <v>53</v>
      </c>
      <c r="B9" s="2"/>
      <c r="C9" s="9" t="e">
        <f t="shared" ref="C9:N9" si="5">C4*$B$9</f>
        <v>#REF!</v>
      </c>
      <c r="D9" s="9" t="e">
        <f t="shared" si="5"/>
        <v>#REF!</v>
      </c>
      <c r="E9" s="9" t="e">
        <f t="shared" si="5"/>
        <v>#REF!</v>
      </c>
      <c r="F9" s="9" t="e">
        <f t="shared" si="5"/>
        <v>#REF!</v>
      </c>
      <c r="G9" s="9" t="e">
        <f t="shared" si="5"/>
        <v>#REF!</v>
      </c>
      <c r="H9" s="9" t="e">
        <f t="shared" si="5"/>
        <v>#REF!</v>
      </c>
      <c r="I9" s="9" t="e">
        <f t="shared" si="5"/>
        <v>#REF!</v>
      </c>
      <c r="J9" s="9" t="e">
        <f t="shared" si="5"/>
        <v>#REF!</v>
      </c>
      <c r="K9" s="9" t="e">
        <f t="shared" si="5"/>
        <v>#REF!</v>
      </c>
      <c r="L9" s="9" t="e">
        <f t="shared" si="5"/>
        <v>#REF!</v>
      </c>
      <c r="M9" s="9" t="e">
        <f t="shared" si="5"/>
        <v>#REF!</v>
      </c>
      <c r="N9" s="9">
        <f t="shared" si="5"/>
        <v>0</v>
      </c>
      <c r="O9" s="9" t="e">
        <f t="shared" si="0"/>
        <v>#REF!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235" t="s">
        <v>19</v>
      </c>
      <c r="B11" s="236" t="s">
        <v>46</v>
      </c>
      <c r="C11" s="237" t="s">
        <v>29</v>
      </c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9"/>
      <c r="O11" s="231" t="s">
        <v>47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232"/>
      <c r="B12" s="232"/>
      <c r="C12" s="4" t="s">
        <v>34</v>
      </c>
      <c r="D12" s="4" t="s">
        <v>35</v>
      </c>
      <c r="E12" s="4" t="s">
        <v>36</v>
      </c>
      <c r="F12" s="4" t="s">
        <v>37</v>
      </c>
      <c r="G12" s="4" t="s">
        <v>28</v>
      </c>
      <c r="H12" s="4" t="s">
        <v>38</v>
      </c>
      <c r="I12" s="4" t="s">
        <v>39</v>
      </c>
      <c r="J12" s="4" t="s">
        <v>40</v>
      </c>
      <c r="K12" s="4" t="s">
        <v>41</v>
      </c>
      <c r="L12" s="4" t="s">
        <v>42</v>
      </c>
      <c r="M12" s="4" t="s">
        <v>43</v>
      </c>
      <c r="N12" s="4" t="s">
        <v>44</v>
      </c>
      <c r="O12" s="23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5" t="s">
        <v>48</v>
      </c>
      <c r="B13" s="5"/>
      <c r="C13" s="6" t="e">
        <f>'Operating Expenses'!#REF!</f>
        <v>#REF!</v>
      </c>
      <c r="D13" s="6" t="e">
        <f>'Operating Expenses'!#REF!</f>
        <v>#REF!</v>
      </c>
      <c r="E13" s="6" t="e">
        <f>'Operating Expenses'!#REF!</f>
        <v>#REF!</v>
      </c>
      <c r="F13" s="6" t="e">
        <f>'Operating Expenses'!#REF!</f>
        <v>#REF!</v>
      </c>
      <c r="G13" s="6" t="e">
        <f>'Operating Expenses'!#REF!</f>
        <v>#REF!</v>
      </c>
      <c r="H13" s="6" t="e">
        <f>'Operating Expenses'!#REF!</f>
        <v>#REF!</v>
      </c>
      <c r="I13" s="6" t="e">
        <f>'Operating Expenses'!#REF!</f>
        <v>#REF!</v>
      </c>
      <c r="J13" s="6" t="e">
        <f>'Operating Expenses'!#REF!</f>
        <v>#REF!</v>
      </c>
      <c r="K13" s="6" t="e">
        <f>'Operating Expenses'!#REF!</f>
        <v>#REF!</v>
      </c>
      <c r="L13" s="6" t="e">
        <f>'Operating Expenses'!#REF!</f>
        <v>#REF!</v>
      </c>
      <c r="M13" s="6" t="e">
        <f>'Operating Expenses'!#REF!</f>
        <v>#REF!</v>
      </c>
      <c r="N13" s="6">
        <f>'Operating Expenses'!F13</f>
        <v>39687750</v>
      </c>
      <c r="O13" s="6" t="e">
        <f t="shared" ref="O13:O18" si="6">SUM(C13:N13)</f>
        <v>#REF!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0" t="s">
        <v>49</v>
      </c>
      <c r="B14" s="11">
        <v>0.3</v>
      </c>
      <c r="C14" s="12" t="e">
        <f t="shared" ref="C14:N14" si="7">C13*$B$14</f>
        <v>#REF!</v>
      </c>
      <c r="D14" s="12" t="e">
        <f t="shared" si="7"/>
        <v>#REF!</v>
      </c>
      <c r="E14" s="12" t="e">
        <f t="shared" si="7"/>
        <v>#REF!</v>
      </c>
      <c r="F14" s="12" t="e">
        <f t="shared" si="7"/>
        <v>#REF!</v>
      </c>
      <c r="G14" s="12" t="e">
        <f t="shared" si="7"/>
        <v>#REF!</v>
      </c>
      <c r="H14" s="12" t="e">
        <f t="shared" si="7"/>
        <v>#REF!</v>
      </c>
      <c r="I14" s="12" t="e">
        <f t="shared" si="7"/>
        <v>#REF!</v>
      </c>
      <c r="J14" s="12" t="e">
        <f t="shared" si="7"/>
        <v>#REF!</v>
      </c>
      <c r="K14" s="12" t="e">
        <f t="shared" si="7"/>
        <v>#REF!</v>
      </c>
      <c r="L14" s="12" t="e">
        <f t="shared" si="7"/>
        <v>#REF!</v>
      </c>
      <c r="M14" s="12" t="e">
        <f t="shared" si="7"/>
        <v>#REF!</v>
      </c>
      <c r="N14" s="12">
        <f t="shared" si="7"/>
        <v>11906325</v>
      </c>
      <c r="O14" s="12" t="e">
        <f t="shared" si="6"/>
        <v>#REF!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0" t="s">
        <v>50</v>
      </c>
      <c r="B15" s="11">
        <v>0.15</v>
      </c>
      <c r="C15" s="12" t="e">
        <f t="shared" ref="C15:N15" si="8">C13*$B$15</f>
        <v>#REF!</v>
      </c>
      <c r="D15" s="12" t="e">
        <f t="shared" si="8"/>
        <v>#REF!</v>
      </c>
      <c r="E15" s="12" t="e">
        <f t="shared" si="8"/>
        <v>#REF!</v>
      </c>
      <c r="F15" s="12" t="e">
        <f t="shared" si="8"/>
        <v>#REF!</v>
      </c>
      <c r="G15" s="12" t="e">
        <f t="shared" si="8"/>
        <v>#REF!</v>
      </c>
      <c r="H15" s="12" t="e">
        <f t="shared" si="8"/>
        <v>#REF!</v>
      </c>
      <c r="I15" s="12" t="e">
        <f t="shared" si="8"/>
        <v>#REF!</v>
      </c>
      <c r="J15" s="12" t="e">
        <f t="shared" si="8"/>
        <v>#REF!</v>
      </c>
      <c r="K15" s="12" t="e">
        <f t="shared" si="8"/>
        <v>#REF!</v>
      </c>
      <c r="L15" s="12" t="e">
        <f t="shared" si="8"/>
        <v>#REF!</v>
      </c>
      <c r="M15" s="12" t="e">
        <f t="shared" si="8"/>
        <v>#REF!</v>
      </c>
      <c r="N15" s="12">
        <f t="shared" si="8"/>
        <v>5953162.5</v>
      </c>
      <c r="O15" s="12" t="e">
        <f t="shared" si="6"/>
        <v>#REF!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0" t="s">
        <v>51</v>
      </c>
      <c r="B16" s="11">
        <v>0.15</v>
      </c>
      <c r="C16" s="12" t="e">
        <f t="shared" ref="C16:N16" si="9">C13*$B$16</f>
        <v>#REF!</v>
      </c>
      <c r="D16" s="12" t="e">
        <f t="shared" si="9"/>
        <v>#REF!</v>
      </c>
      <c r="E16" s="12" t="e">
        <f t="shared" si="9"/>
        <v>#REF!</v>
      </c>
      <c r="F16" s="12" t="e">
        <f t="shared" si="9"/>
        <v>#REF!</v>
      </c>
      <c r="G16" s="12" t="e">
        <f t="shared" si="9"/>
        <v>#REF!</v>
      </c>
      <c r="H16" s="12" t="e">
        <f t="shared" si="9"/>
        <v>#REF!</v>
      </c>
      <c r="I16" s="12" t="e">
        <f t="shared" si="9"/>
        <v>#REF!</v>
      </c>
      <c r="J16" s="12" t="e">
        <f t="shared" si="9"/>
        <v>#REF!</v>
      </c>
      <c r="K16" s="12" t="e">
        <f t="shared" si="9"/>
        <v>#REF!</v>
      </c>
      <c r="L16" s="12" t="e">
        <f t="shared" si="9"/>
        <v>#REF!</v>
      </c>
      <c r="M16" s="12" t="e">
        <f t="shared" si="9"/>
        <v>#REF!</v>
      </c>
      <c r="N16" s="12">
        <f t="shared" si="9"/>
        <v>5953162.5</v>
      </c>
      <c r="O16" s="12" t="e">
        <f t="shared" si="6"/>
        <v>#REF!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0" t="s">
        <v>52</v>
      </c>
      <c r="B17" s="11">
        <v>0.2</v>
      </c>
      <c r="C17" s="12" t="e">
        <f t="shared" ref="C17:N17" si="10">C13*$B$17</f>
        <v>#REF!</v>
      </c>
      <c r="D17" s="12" t="e">
        <f t="shared" si="10"/>
        <v>#REF!</v>
      </c>
      <c r="E17" s="12" t="e">
        <f t="shared" si="10"/>
        <v>#REF!</v>
      </c>
      <c r="F17" s="12" t="e">
        <f t="shared" si="10"/>
        <v>#REF!</v>
      </c>
      <c r="G17" s="12" t="e">
        <f t="shared" si="10"/>
        <v>#REF!</v>
      </c>
      <c r="H17" s="12" t="e">
        <f t="shared" si="10"/>
        <v>#REF!</v>
      </c>
      <c r="I17" s="12" t="e">
        <f t="shared" si="10"/>
        <v>#REF!</v>
      </c>
      <c r="J17" s="12" t="e">
        <f t="shared" si="10"/>
        <v>#REF!</v>
      </c>
      <c r="K17" s="12" t="e">
        <f t="shared" si="10"/>
        <v>#REF!</v>
      </c>
      <c r="L17" s="12" t="e">
        <f t="shared" si="10"/>
        <v>#REF!</v>
      </c>
      <c r="M17" s="12" t="e">
        <f t="shared" si="10"/>
        <v>#REF!</v>
      </c>
      <c r="N17" s="12">
        <f t="shared" si="10"/>
        <v>7937550</v>
      </c>
      <c r="O17" s="12" t="e">
        <f t="shared" si="6"/>
        <v>#REF!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0" t="s">
        <v>53</v>
      </c>
      <c r="B18" s="11">
        <v>0.2</v>
      </c>
      <c r="C18" s="12" t="e">
        <f t="shared" ref="C18:N18" si="11">C13*$B$18</f>
        <v>#REF!</v>
      </c>
      <c r="D18" s="12" t="e">
        <f t="shared" si="11"/>
        <v>#REF!</v>
      </c>
      <c r="E18" s="12" t="e">
        <f t="shared" si="11"/>
        <v>#REF!</v>
      </c>
      <c r="F18" s="12" t="e">
        <f t="shared" si="11"/>
        <v>#REF!</v>
      </c>
      <c r="G18" s="12" t="e">
        <f t="shared" si="11"/>
        <v>#REF!</v>
      </c>
      <c r="H18" s="12" t="e">
        <f t="shared" si="11"/>
        <v>#REF!</v>
      </c>
      <c r="I18" s="12" t="e">
        <f t="shared" si="11"/>
        <v>#REF!</v>
      </c>
      <c r="J18" s="12" t="e">
        <f t="shared" si="11"/>
        <v>#REF!</v>
      </c>
      <c r="K18" s="12" t="e">
        <f t="shared" si="11"/>
        <v>#REF!</v>
      </c>
      <c r="L18" s="12" t="e">
        <f t="shared" si="11"/>
        <v>#REF!</v>
      </c>
      <c r="M18" s="12" t="e">
        <f t="shared" si="11"/>
        <v>#REF!</v>
      </c>
      <c r="N18" s="12">
        <f t="shared" si="11"/>
        <v>7937550</v>
      </c>
      <c r="O18" s="12" t="e">
        <f t="shared" si="6"/>
        <v>#REF!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240"/>
      <c r="B20" s="236" t="s">
        <v>46</v>
      </c>
      <c r="C20" s="237" t="s">
        <v>30</v>
      </c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9"/>
      <c r="O20" s="231" t="s">
        <v>47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232"/>
      <c r="B21" s="232"/>
      <c r="C21" s="4" t="s">
        <v>34</v>
      </c>
      <c r="D21" s="4" t="s">
        <v>35</v>
      </c>
      <c r="E21" s="4" t="s">
        <v>36</v>
      </c>
      <c r="F21" s="4" t="s">
        <v>37</v>
      </c>
      <c r="G21" s="4" t="s">
        <v>28</v>
      </c>
      <c r="H21" s="4" t="s">
        <v>38</v>
      </c>
      <c r="I21" s="4" t="s">
        <v>39</v>
      </c>
      <c r="J21" s="4" t="s">
        <v>40</v>
      </c>
      <c r="K21" s="4" t="s">
        <v>41</v>
      </c>
      <c r="L21" s="4" t="s">
        <v>42</v>
      </c>
      <c r="M21" s="4" t="s">
        <v>43</v>
      </c>
      <c r="N21" s="4" t="s">
        <v>44</v>
      </c>
      <c r="O21" s="23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5" t="s">
        <v>48</v>
      </c>
      <c r="B22" s="5"/>
      <c r="C22" s="6" t="e">
        <f>'Operating Expenses'!#REF!</f>
        <v>#REF!</v>
      </c>
      <c r="D22" s="6" t="e">
        <f>'Operating Expenses'!#REF!</f>
        <v>#REF!</v>
      </c>
      <c r="E22" s="6" t="e">
        <f>'Operating Expenses'!#REF!</f>
        <v>#REF!</v>
      </c>
      <c r="F22" s="6" t="e">
        <f>'Operating Expenses'!#REF!</f>
        <v>#REF!</v>
      </c>
      <c r="G22" s="6" t="e">
        <f>'Operating Expenses'!#REF!</f>
        <v>#REF!</v>
      </c>
      <c r="H22" s="6" t="e">
        <f>'Operating Expenses'!#REF!</f>
        <v>#REF!</v>
      </c>
      <c r="I22" s="6" t="e">
        <f>'Operating Expenses'!#REF!</f>
        <v>#REF!</v>
      </c>
      <c r="J22" s="6" t="e">
        <f>'Operating Expenses'!#REF!</f>
        <v>#REF!</v>
      </c>
      <c r="K22" s="6" t="e">
        <f>'Operating Expenses'!#REF!</f>
        <v>#REF!</v>
      </c>
      <c r="L22" s="6" t="e">
        <f>'Operating Expenses'!#REF!</f>
        <v>#REF!</v>
      </c>
      <c r="M22" s="6" t="e">
        <f>'Operating Expenses'!#REF!</f>
        <v>#REF!</v>
      </c>
      <c r="N22" s="6">
        <f>'Operating Expenses'!H13</f>
        <v>36474000</v>
      </c>
      <c r="O22" s="6" t="e">
        <f t="shared" ref="O22:O27" si="12">SUM(C22:N22)</f>
        <v>#REF!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0" t="s">
        <v>49</v>
      </c>
      <c r="B23" s="11">
        <v>0.3</v>
      </c>
      <c r="C23" s="12" t="e">
        <f t="shared" ref="C23:N23" si="13">C22*$B$23</f>
        <v>#REF!</v>
      </c>
      <c r="D23" s="12" t="e">
        <f t="shared" si="13"/>
        <v>#REF!</v>
      </c>
      <c r="E23" s="12" t="e">
        <f t="shared" si="13"/>
        <v>#REF!</v>
      </c>
      <c r="F23" s="12" t="e">
        <f t="shared" si="13"/>
        <v>#REF!</v>
      </c>
      <c r="G23" s="12" t="e">
        <f t="shared" si="13"/>
        <v>#REF!</v>
      </c>
      <c r="H23" s="12" t="e">
        <f t="shared" si="13"/>
        <v>#REF!</v>
      </c>
      <c r="I23" s="12" t="e">
        <f t="shared" si="13"/>
        <v>#REF!</v>
      </c>
      <c r="J23" s="12" t="e">
        <f t="shared" si="13"/>
        <v>#REF!</v>
      </c>
      <c r="K23" s="12" t="e">
        <f t="shared" si="13"/>
        <v>#REF!</v>
      </c>
      <c r="L23" s="12" t="e">
        <f t="shared" si="13"/>
        <v>#REF!</v>
      </c>
      <c r="M23" s="12" t="e">
        <f t="shared" si="13"/>
        <v>#REF!</v>
      </c>
      <c r="N23" s="12">
        <f t="shared" si="13"/>
        <v>10942200</v>
      </c>
      <c r="O23" s="12" t="e">
        <f t="shared" si="12"/>
        <v>#REF!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0" t="s">
        <v>50</v>
      </c>
      <c r="B24" s="11">
        <v>0.15</v>
      </c>
      <c r="C24" s="12" t="e">
        <f t="shared" ref="C24:N24" si="14">C22*$B$24</f>
        <v>#REF!</v>
      </c>
      <c r="D24" s="12" t="e">
        <f t="shared" si="14"/>
        <v>#REF!</v>
      </c>
      <c r="E24" s="12" t="e">
        <f t="shared" si="14"/>
        <v>#REF!</v>
      </c>
      <c r="F24" s="12" t="e">
        <f t="shared" si="14"/>
        <v>#REF!</v>
      </c>
      <c r="G24" s="12" t="e">
        <f t="shared" si="14"/>
        <v>#REF!</v>
      </c>
      <c r="H24" s="12" t="e">
        <f t="shared" si="14"/>
        <v>#REF!</v>
      </c>
      <c r="I24" s="12" t="e">
        <f t="shared" si="14"/>
        <v>#REF!</v>
      </c>
      <c r="J24" s="12" t="e">
        <f t="shared" si="14"/>
        <v>#REF!</v>
      </c>
      <c r="K24" s="12" t="e">
        <f t="shared" si="14"/>
        <v>#REF!</v>
      </c>
      <c r="L24" s="12" t="e">
        <f t="shared" si="14"/>
        <v>#REF!</v>
      </c>
      <c r="M24" s="12" t="e">
        <f t="shared" si="14"/>
        <v>#REF!</v>
      </c>
      <c r="N24" s="12">
        <f t="shared" si="14"/>
        <v>5471100</v>
      </c>
      <c r="O24" s="12" t="e">
        <f t="shared" si="12"/>
        <v>#REF!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0" t="s">
        <v>51</v>
      </c>
      <c r="B25" s="11">
        <v>0.15</v>
      </c>
      <c r="C25" s="12" t="e">
        <f t="shared" ref="C25:N25" si="15">C22*$B$25</f>
        <v>#REF!</v>
      </c>
      <c r="D25" s="12" t="e">
        <f t="shared" si="15"/>
        <v>#REF!</v>
      </c>
      <c r="E25" s="12" t="e">
        <f t="shared" si="15"/>
        <v>#REF!</v>
      </c>
      <c r="F25" s="12" t="e">
        <f t="shared" si="15"/>
        <v>#REF!</v>
      </c>
      <c r="G25" s="12" t="e">
        <f t="shared" si="15"/>
        <v>#REF!</v>
      </c>
      <c r="H25" s="12" t="e">
        <f t="shared" si="15"/>
        <v>#REF!</v>
      </c>
      <c r="I25" s="12" t="e">
        <f t="shared" si="15"/>
        <v>#REF!</v>
      </c>
      <c r="J25" s="12" t="e">
        <f t="shared" si="15"/>
        <v>#REF!</v>
      </c>
      <c r="K25" s="12" t="e">
        <f t="shared" si="15"/>
        <v>#REF!</v>
      </c>
      <c r="L25" s="12" t="e">
        <f t="shared" si="15"/>
        <v>#REF!</v>
      </c>
      <c r="M25" s="12" t="e">
        <f t="shared" si="15"/>
        <v>#REF!</v>
      </c>
      <c r="N25" s="12">
        <f t="shared" si="15"/>
        <v>5471100</v>
      </c>
      <c r="O25" s="12" t="e">
        <f t="shared" si="12"/>
        <v>#REF!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0" t="s">
        <v>52</v>
      </c>
      <c r="B26" s="11">
        <v>0.2</v>
      </c>
      <c r="C26" s="12" t="e">
        <f t="shared" ref="C26:N26" si="16">C22*$B$26</f>
        <v>#REF!</v>
      </c>
      <c r="D26" s="12" t="e">
        <f t="shared" si="16"/>
        <v>#REF!</v>
      </c>
      <c r="E26" s="12" t="e">
        <f t="shared" si="16"/>
        <v>#REF!</v>
      </c>
      <c r="F26" s="12" t="e">
        <f t="shared" si="16"/>
        <v>#REF!</v>
      </c>
      <c r="G26" s="12" t="e">
        <f t="shared" si="16"/>
        <v>#REF!</v>
      </c>
      <c r="H26" s="12" t="e">
        <f t="shared" si="16"/>
        <v>#REF!</v>
      </c>
      <c r="I26" s="12" t="e">
        <f t="shared" si="16"/>
        <v>#REF!</v>
      </c>
      <c r="J26" s="12" t="e">
        <f t="shared" si="16"/>
        <v>#REF!</v>
      </c>
      <c r="K26" s="12" t="e">
        <f t="shared" si="16"/>
        <v>#REF!</v>
      </c>
      <c r="L26" s="12" t="e">
        <f t="shared" si="16"/>
        <v>#REF!</v>
      </c>
      <c r="M26" s="12" t="e">
        <f t="shared" si="16"/>
        <v>#REF!</v>
      </c>
      <c r="N26" s="12">
        <f t="shared" si="16"/>
        <v>7294800</v>
      </c>
      <c r="O26" s="12" t="e">
        <f t="shared" si="12"/>
        <v>#REF!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0" t="s">
        <v>53</v>
      </c>
      <c r="B27" s="11">
        <v>0.2</v>
      </c>
      <c r="C27" s="12" t="e">
        <f t="shared" ref="C27:N27" si="17">C22*$B$27</f>
        <v>#REF!</v>
      </c>
      <c r="D27" s="12" t="e">
        <f t="shared" si="17"/>
        <v>#REF!</v>
      </c>
      <c r="E27" s="12" t="e">
        <f t="shared" si="17"/>
        <v>#REF!</v>
      </c>
      <c r="F27" s="12" t="e">
        <f t="shared" si="17"/>
        <v>#REF!</v>
      </c>
      <c r="G27" s="12" t="e">
        <f t="shared" si="17"/>
        <v>#REF!</v>
      </c>
      <c r="H27" s="12" t="e">
        <f t="shared" si="17"/>
        <v>#REF!</v>
      </c>
      <c r="I27" s="12" t="e">
        <f t="shared" si="17"/>
        <v>#REF!</v>
      </c>
      <c r="J27" s="12" t="e">
        <f t="shared" si="17"/>
        <v>#REF!</v>
      </c>
      <c r="K27" s="12" t="e">
        <f t="shared" si="17"/>
        <v>#REF!</v>
      </c>
      <c r="L27" s="12" t="e">
        <f t="shared" si="17"/>
        <v>#REF!</v>
      </c>
      <c r="M27" s="12" t="e">
        <f t="shared" si="17"/>
        <v>#REF!</v>
      </c>
      <c r="N27" s="12">
        <f t="shared" si="17"/>
        <v>7294800</v>
      </c>
      <c r="O27" s="12" t="e">
        <f t="shared" si="12"/>
        <v>#REF!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235" t="s">
        <v>19</v>
      </c>
      <c r="B29" s="236" t="s">
        <v>46</v>
      </c>
      <c r="C29" s="237" t="s">
        <v>31</v>
      </c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9"/>
      <c r="O29" s="231" t="s">
        <v>47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232"/>
      <c r="B30" s="232"/>
      <c r="C30" s="4" t="s">
        <v>34</v>
      </c>
      <c r="D30" s="4" t="s">
        <v>35</v>
      </c>
      <c r="E30" s="4" t="s">
        <v>36</v>
      </c>
      <c r="F30" s="4" t="s">
        <v>37</v>
      </c>
      <c r="G30" s="4" t="s">
        <v>28</v>
      </c>
      <c r="H30" s="4" t="s">
        <v>38</v>
      </c>
      <c r="I30" s="4" t="s">
        <v>39</v>
      </c>
      <c r="J30" s="4" t="s">
        <v>40</v>
      </c>
      <c r="K30" s="4" t="s">
        <v>41</v>
      </c>
      <c r="L30" s="4" t="s">
        <v>42</v>
      </c>
      <c r="M30" s="4" t="s">
        <v>43</v>
      </c>
      <c r="N30" s="4" t="s">
        <v>44</v>
      </c>
      <c r="O30" s="23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5" t="s">
        <v>48</v>
      </c>
      <c r="B31" s="5"/>
      <c r="C31" s="6" t="e">
        <f>'Operating Expenses'!#REF!</f>
        <v>#REF!</v>
      </c>
      <c r="D31" s="6" t="e">
        <f>'Operating Expenses'!#REF!</f>
        <v>#REF!</v>
      </c>
      <c r="E31" s="6" t="e">
        <f>'Operating Expenses'!#REF!</f>
        <v>#REF!</v>
      </c>
      <c r="F31" s="6" t="e">
        <f>'Operating Expenses'!#REF!</f>
        <v>#REF!</v>
      </c>
      <c r="G31" s="6" t="e">
        <f>'Operating Expenses'!#REF!</f>
        <v>#REF!</v>
      </c>
      <c r="H31" s="6" t="e">
        <f>'Operating Expenses'!#REF!</f>
        <v>#REF!</v>
      </c>
      <c r="I31" s="6" t="e">
        <f>'Operating Expenses'!#REF!</f>
        <v>#REF!</v>
      </c>
      <c r="J31" s="6" t="e">
        <f>'Operating Expenses'!#REF!</f>
        <v>#REF!</v>
      </c>
      <c r="K31" s="6" t="e">
        <f>'Operating Expenses'!#REF!</f>
        <v>#REF!</v>
      </c>
      <c r="L31" s="6" t="e">
        <f>'Operating Expenses'!#REF!</f>
        <v>#REF!</v>
      </c>
      <c r="M31" s="6" t="e">
        <f>'Operating Expenses'!#REF!</f>
        <v>#REF!</v>
      </c>
      <c r="N31" s="6">
        <f>'Operating Expenses'!J13</f>
        <v>43729200</v>
      </c>
      <c r="O31" s="6" t="e">
        <f t="shared" ref="O31:O36" si="18">SUM(C31:N31)</f>
        <v>#REF!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0" t="s">
        <v>49</v>
      </c>
      <c r="B32" s="11">
        <v>0.3</v>
      </c>
      <c r="C32" s="12" t="e">
        <f t="shared" ref="C32:N32" si="19">C31*$B$32</f>
        <v>#REF!</v>
      </c>
      <c r="D32" s="12" t="e">
        <f t="shared" si="19"/>
        <v>#REF!</v>
      </c>
      <c r="E32" s="12" t="e">
        <f t="shared" si="19"/>
        <v>#REF!</v>
      </c>
      <c r="F32" s="12" t="e">
        <f t="shared" si="19"/>
        <v>#REF!</v>
      </c>
      <c r="G32" s="12" t="e">
        <f t="shared" si="19"/>
        <v>#REF!</v>
      </c>
      <c r="H32" s="12" t="e">
        <f t="shared" si="19"/>
        <v>#REF!</v>
      </c>
      <c r="I32" s="12" t="e">
        <f t="shared" si="19"/>
        <v>#REF!</v>
      </c>
      <c r="J32" s="12" t="e">
        <f t="shared" si="19"/>
        <v>#REF!</v>
      </c>
      <c r="K32" s="12" t="e">
        <f t="shared" si="19"/>
        <v>#REF!</v>
      </c>
      <c r="L32" s="12" t="e">
        <f t="shared" si="19"/>
        <v>#REF!</v>
      </c>
      <c r="M32" s="12" t="e">
        <f t="shared" si="19"/>
        <v>#REF!</v>
      </c>
      <c r="N32" s="12">
        <f t="shared" si="19"/>
        <v>13118760</v>
      </c>
      <c r="O32" s="12" t="e">
        <f t="shared" si="18"/>
        <v>#REF!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0" t="s">
        <v>50</v>
      </c>
      <c r="B33" s="11">
        <v>0.15</v>
      </c>
      <c r="C33" s="12" t="e">
        <f t="shared" ref="C33:N33" si="20">C31*$B$33</f>
        <v>#REF!</v>
      </c>
      <c r="D33" s="12" t="e">
        <f t="shared" si="20"/>
        <v>#REF!</v>
      </c>
      <c r="E33" s="12" t="e">
        <f t="shared" si="20"/>
        <v>#REF!</v>
      </c>
      <c r="F33" s="12" t="e">
        <f t="shared" si="20"/>
        <v>#REF!</v>
      </c>
      <c r="G33" s="12" t="e">
        <f t="shared" si="20"/>
        <v>#REF!</v>
      </c>
      <c r="H33" s="12" t="e">
        <f t="shared" si="20"/>
        <v>#REF!</v>
      </c>
      <c r="I33" s="12" t="e">
        <f t="shared" si="20"/>
        <v>#REF!</v>
      </c>
      <c r="J33" s="12" t="e">
        <f t="shared" si="20"/>
        <v>#REF!</v>
      </c>
      <c r="K33" s="12" t="e">
        <f t="shared" si="20"/>
        <v>#REF!</v>
      </c>
      <c r="L33" s="12" t="e">
        <f t="shared" si="20"/>
        <v>#REF!</v>
      </c>
      <c r="M33" s="12" t="e">
        <f t="shared" si="20"/>
        <v>#REF!</v>
      </c>
      <c r="N33" s="12">
        <f t="shared" si="20"/>
        <v>6559380</v>
      </c>
      <c r="O33" s="12" t="e">
        <f t="shared" si="18"/>
        <v>#REF!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0" t="s">
        <v>51</v>
      </c>
      <c r="B34" s="11">
        <v>0.15</v>
      </c>
      <c r="C34" s="12" t="e">
        <f t="shared" ref="C34:N34" si="21">C31*$B$34</f>
        <v>#REF!</v>
      </c>
      <c r="D34" s="12" t="e">
        <f t="shared" si="21"/>
        <v>#REF!</v>
      </c>
      <c r="E34" s="12" t="e">
        <f t="shared" si="21"/>
        <v>#REF!</v>
      </c>
      <c r="F34" s="12" t="e">
        <f t="shared" si="21"/>
        <v>#REF!</v>
      </c>
      <c r="G34" s="12" t="e">
        <f t="shared" si="21"/>
        <v>#REF!</v>
      </c>
      <c r="H34" s="12" t="e">
        <f t="shared" si="21"/>
        <v>#REF!</v>
      </c>
      <c r="I34" s="12" t="e">
        <f t="shared" si="21"/>
        <v>#REF!</v>
      </c>
      <c r="J34" s="12" t="e">
        <f t="shared" si="21"/>
        <v>#REF!</v>
      </c>
      <c r="K34" s="12" t="e">
        <f t="shared" si="21"/>
        <v>#REF!</v>
      </c>
      <c r="L34" s="12" t="e">
        <f t="shared" si="21"/>
        <v>#REF!</v>
      </c>
      <c r="M34" s="12" t="e">
        <f t="shared" si="21"/>
        <v>#REF!</v>
      </c>
      <c r="N34" s="12">
        <f t="shared" si="21"/>
        <v>6559380</v>
      </c>
      <c r="O34" s="12" t="e">
        <f t="shared" si="18"/>
        <v>#REF!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0" t="s">
        <v>52</v>
      </c>
      <c r="B35" s="11">
        <v>0.2</v>
      </c>
      <c r="C35" s="12" t="e">
        <f t="shared" ref="C35:N35" si="22">C31*$B$35</f>
        <v>#REF!</v>
      </c>
      <c r="D35" s="12" t="e">
        <f t="shared" si="22"/>
        <v>#REF!</v>
      </c>
      <c r="E35" s="12" t="e">
        <f t="shared" si="22"/>
        <v>#REF!</v>
      </c>
      <c r="F35" s="12" t="e">
        <f t="shared" si="22"/>
        <v>#REF!</v>
      </c>
      <c r="G35" s="12" t="e">
        <f t="shared" si="22"/>
        <v>#REF!</v>
      </c>
      <c r="H35" s="12" t="e">
        <f t="shared" si="22"/>
        <v>#REF!</v>
      </c>
      <c r="I35" s="12" t="e">
        <f t="shared" si="22"/>
        <v>#REF!</v>
      </c>
      <c r="J35" s="12" t="e">
        <f t="shared" si="22"/>
        <v>#REF!</v>
      </c>
      <c r="K35" s="12" t="e">
        <f t="shared" si="22"/>
        <v>#REF!</v>
      </c>
      <c r="L35" s="12" t="e">
        <f t="shared" si="22"/>
        <v>#REF!</v>
      </c>
      <c r="M35" s="12" t="e">
        <f t="shared" si="22"/>
        <v>#REF!</v>
      </c>
      <c r="N35" s="12">
        <f t="shared" si="22"/>
        <v>8745840</v>
      </c>
      <c r="O35" s="12" t="e">
        <f t="shared" si="18"/>
        <v>#REF!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0" t="s">
        <v>53</v>
      </c>
      <c r="B36" s="11">
        <v>0.2</v>
      </c>
      <c r="C36" s="12" t="e">
        <f t="shared" ref="C36:N36" si="23">C31*$B$36</f>
        <v>#REF!</v>
      </c>
      <c r="D36" s="12" t="e">
        <f t="shared" si="23"/>
        <v>#REF!</v>
      </c>
      <c r="E36" s="12" t="e">
        <f t="shared" si="23"/>
        <v>#REF!</v>
      </c>
      <c r="F36" s="12" t="e">
        <f t="shared" si="23"/>
        <v>#REF!</v>
      </c>
      <c r="G36" s="12" t="e">
        <f t="shared" si="23"/>
        <v>#REF!</v>
      </c>
      <c r="H36" s="12" t="e">
        <f t="shared" si="23"/>
        <v>#REF!</v>
      </c>
      <c r="I36" s="12" t="e">
        <f t="shared" si="23"/>
        <v>#REF!</v>
      </c>
      <c r="J36" s="12" t="e">
        <f t="shared" si="23"/>
        <v>#REF!</v>
      </c>
      <c r="K36" s="12" t="e">
        <f t="shared" si="23"/>
        <v>#REF!</v>
      </c>
      <c r="L36" s="12" t="e">
        <f t="shared" si="23"/>
        <v>#REF!</v>
      </c>
      <c r="M36" s="12" t="e">
        <f t="shared" si="23"/>
        <v>#REF!</v>
      </c>
      <c r="N36" s="12">
        <f t="shared" si="23"/>
        <v>8745840</v>
      </c>
      <c r="O36" s="12" t="e">
        <f t="shared" si="18"/>
        <v>#REF!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235" t="s">
        <v>19</v>
      </c>
      <c r="B38" s="236" t="s">
        <v>46</v>
      </c>
      <c r="C38" s="237" t="s">
        <v>32</v>
      </c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9"/>
      <c r="O38" s="231" t="s">
        <v>47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232"/>
      <c r="B39" s="232"/>
      <c r="C39" s="4" t="s">
        <v>34</v>
      </c>
      <c r="D39" s="4" t="s">
        <v>35</v>
      </c>
      <c r="E39" s="4" t="s">
        <v>36</v>
      </c>
      <c r="F39" s="4" t="s">
        <v>37</v>
      </c>
      <c r="G39" s="4" t="s">
        <v>28</v>
      </c>
      <c r="H39" s="4" t="s">
        <v>38</v>
      </c>
      <c r="I39" s="4" t="s">
        <v>39</v>
      </c>
      <c r="J39" s="4" t="s">
        <v>40</v>
      </c>
      <c r="K39" s="4" t="s">
        <v>41</v>
      </c>
      <c r="L39" s="4" t="s">
        <v>42</v>
      </c>
      <c r="M39" s="4" t="s">
        <v>43</v>
      </c>
      <c r="N39" s="4" t="s">
        <v>44</v>
      </c>
      <c r="O39" s="23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5" t="s">
        <v>48</v>
      </c>
      <c r="B40" s="5"/>
      <c r="C40" s="6" t="e">
        <f>'Operating Expenses'!#REF!</f>
        <v>#REF!</v>
      </c>
      <c r="D40" s="6" t="e">
        <f>'Operating Expenses'!#REF!</f>
        <v>#REF!</v>
      </c>
      <c r="E40" s="6" t="e">
        <f>'Operating Expenses'!#REF!</f>
        <v>#REF!</v>
      </c>
      <c r="F40" s="6" t="e">
        <f>'Operating Expenses'!#REF!</f>
        <v>#REF!</v>
      </c>
      <c r="G40" s="6" t="e">
        <f>'Operating Expenses'!#REF!</f>
        <v>#REF!</v>
      </c>
      <c r="H40" s="6" t="e">
        <f>'Operating Expenses'!#REF!</f>
        <v>#REF!</v>
      </c>
      <c r="I40" s="6" t="e">
        <f>'Operating Expenses'!#REF!</f>
        <v>#REF!</v>
      </c>
      <c r="J40" s="6" t="e">
        <f>'Operating Expenses'!#REF!</f>
        <v>#REF!</v>
      </c>
      <c r="K40" s="6" t="e">
        <f>'Operating Expenses'!#REF!</f>
        <v>#REF!</v>
      </c>
      <c r="L40" s="6" t="e">
        <f>'Operating Expenses'!#REF!</f>
        <v>#REF!</v>
      </c>
      <c r="M40" s="6" t="e">
        <f>'Operating Expenses'!#REF!</f>
        <v>#REF!</v>
      </c>
      <c r="N40" s="6" t="e">
        <f>'Operating Expenses'!#REF!</f>
        <v>#REF!</v>
      </c>
      <c r="O40" s="6" t="e">
        <f t="shared" ref="O40:O45" si="24">SUM(C40:N40)</f>
        <v>#REF!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0" t="s">
        <v>49</v>
      </c>
      <c r="B41" s="11">
        <v>0.3</v>
      </c>
      <c r="C41" s="12" t="e">
        <f t="shared" ref="C41:N41" si="25">C40*$B$41</f>
        <v>#REF!</v>
      </c>
      <c r="D41" s="12" t="e">
        <f t="shared" si="25"/>
        <v>#REF!</v>
      </c>
      <c r="E41" s="12" t="e">
        <f t="shared" si="25"/>
        <v>#REF!</v>
      </c>
      <c r="F41" s="12" t="e">
        <f t="shared" si="25"/>
        <v>#REF!</v>
      </c>
      <c r="G41" s="12" t="e">
        <f t="shared" si="25"/>
        <v>#REF!</v>
      </c>
      <c r="H41" s="12" t="e">
        <f t="shared" si="25"/>
        <v>#REF!</v>
      </c>
      <c r="I41" s="12" t="e">
        <f t="shared" si="25"/>
        <v>#REF!</v>
      </c>
      <c r="J41" s="12" t="e">
        <f t="shared" si="25"/>
        <v>#REF!</v>
      </c>
      <c r="K41" s="12" t="e">
        <f t="shared" si="25"/>
        <v>#REF!</v>
      </c>
      <c r="L41" s="12" t="e">
        <f t="shared" si="25"/>
        <v>#REF!</v>
      </c>
      <c r="M41" s="12" t="e">
        <f t="shared" si="25"/>
        <v>#REF!</v>
      </c>
      <c r="N41" s="12" t="e">
        <f t="shared" si="25"/>
        <v>#REF!</v>
      </c>
      <c r="O41" s="12" t="e">
        <f t="shared" si="24"/>
        <v>#REF!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0" t="s">
        <v>50</v>
      </c>
      <c r="B42" s="11">
        <v>0.15</v>
      </c>
      <c r="C42" s="12" t="e">
        <f t="shared" ref="C42:N42" si="26">C40*$B$42</f>
        <v>#REF!</v>
      </c>
      <c r="D42" s="12" t="e">
        <f t="shared" si="26"/>
        <v>#REF!</v>
      </c>
      <c r="E42" s="12" t="e">
        <f t="shared" si="26"/>
        <v>#REF!</v>
      </c>
      <c r="F42" s="12" t="e">
        <f t="shared" si="26"/>
        <v>#REF!</v>
      </c>
      <c r="G42" s="12" t="e">
        <f t="shared" si="26"/>
        <v>#REF!</v>
      </c>
      <c r="H42" s="12" t="e">
        <f t="shared" si="26"/>
        <v>#REF!</v>
      </c>
      <c r="I42" s="12" t="e">
        <f t="shared" si="26"/>
        <v>#REF!</v>
      </c>
      <c r="J42" s="12" t="e">
        <f t="shared" si="26"/>
        <v>#REF!</v>
      </c>
      <c r="K42" s="12" t="e">
        <f t="shared" si="26"/>
        <v>#REF!</v>
      </c>
      <c r="L42" s="12" t="e">
        <f t="shared" si="26"/>
        <v>#REF!</v>
      </c>
      <c r="M42" s="12" t="e">
        <f t="shared" si="26"/>
        <v>#REF!</v>
      </c>
      <c r="N42" s="12" t="e">
        <f t="shared" si="26"/>
        <v>#REF!</v>
      </c>
      <c r="O42" s="12" t="e">
        <f t="shared" si="24"/>
        <v>#REF!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0" t="s">
        <v>51</v>
      </c>
      <c r="B43" s="11">
        <v>0.15</v>
      </c>
      <c r="C43" s="12" t="e">
        <f t="shared" ref="C43:N43" si="27">C40*$B$43</f>
        <v>#REF!</v>
      </c>
      <c r="D43" s="12" t="e">
        <f t="shared" si="27"/>
        <v>#REF!</v>
      </c>
      <c r="E43" s="12" t="e">
        <f t="shared" si="27"/>
        <v>#REF!</v>
      </c>
      <c r="F43" s="12" t="e">
        <f t="shared" si="27"/>
        <v>#REF!</v>
      </c>
      <c r="G43" s="12" t="e">
        <f t="shared" si="27"/>
        <v>#REF!</v>
      </c>
      <c r="H43" s="12" t="e">
        <f t="shared" si="27"/>
        <v>#REF!</v>
      </c>
      <c r="I43" s="12" t="e">
        <f t="shared" si="27"/>
        <v>#REF!</v>
      </c>
      <c r="J43" s="12" t="e">
        <f t="shared" si="27"/>
        <v>#REF!</v>
      </c>
      <c r="K43" s="12" t="e">
        <f t="shared" si="27"/>
        <v>#REF!</v>
      </c>
      <c r="L43" s="12" t="e">
        <f t="shared" si="27"/>
        <v>#REF!</v>
      </c>
      <c r="M43" s="12" t="e">
        <f t="shared" si="27"/>
        <v>#REF!</v>
      </c>
      <c r="N43" s="12" t="e">
        <f t="shared" si="27"/>
        <v>#REF!</v>
      </c>
      <c r="O43" s="12" t="e">
        <f t="shared" si="24"/>
        <v>#REF!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0" t="s">
        <v>52</v>
      </c>
      <c r="B44" s="11">
        <v>0.2</v>
      </c>
      <c r="C44" s="12" t="e">
        <f t="shared" ref="C44:N44" si="28">C40*$B$44</f>
        <v>#REF!</v>
      </c>
      <c r="D44" s="12" t="e">
        <f t="shared" si="28"/>
        <v>#REF!</v>
      </c>
      <c r="E44" s="12" t="e">
        <f t="shared" si="28"/>
        <v>#REF!</v>
      </c>
      <c r="F44" s="12" t="e">
        <f t="shared" si="28"/>
        <v>#REF!</v>
      </c>
      <c r="G44" s="12" t="e">
        <f t="shared" si="28"/>
        <v>#REF!</v>
      </c>
      <c r="H44" s="12" t="e">
        <f t="shared" si="28"/>
        <v>#REF!</v>
      </c>
      <c r="I44" s="12" t="e">
        <f t="shared" si="28"/>
        <v>#REF!</v>
      </c>
      <c r="J44" s="12" t="e">
        <f t="shared" si="28"/>
        <v>#REF!</v>
      </c>
      <c r="K44" s="12" t="e">
        <f t="shared" si="28"/>
        <v>#REF!</v>
      </c>
      <c r="L44" s="12" t="e">
        <f t="shared" si="28"/>
        <v>#REF!</v>
      </c>
      <c r="M44" s="12" t="e">
        <f t="shared" si="28"/>
        <v>#REF!</v>
      </c>
      <c r="N44" s="12" t="e">
        <f t="shared" si="28"/>
        <v>#REF!</v>
      </c>
      <c r="O44" s="12" t="e">
        <f t="shared" si="24"/>
        <v>#REF!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0" t="s">
        <v>53</v>
      </c>
      <c r="B45" s="11">
        <v>0.2</v>
      </c>
      <c r="C45" s="12" t="e">
        <f t="shared" ref="C45:N45" si="29">C40*$B$45</f>
        <v>#REF!</v>
      </c>
      <c r="D45" s="12" t="e">
        <f t="shared" si="29"/>
        <v>#REF!</v>
      </c>
      <c r="E45" s="12" t="e">
        <f t="shared" si="29"/>
        <v>#REF!</v>
      </c>
      <c r="F45" s="12" t="e">
        <f t="shared" si="29"/>
        <v>#REF!</v>
      </c>
      <c r="G45" s="12" t="e">
        <f t="shared" si="29"/>
        <v>#REF!</v>
      </c>
      <c r="H45" s="12" t="e">
        <f t="shared" si="29"/>
        <v>#REF!</v>
      </c>
      <c r="I45" s="12" t="e">
        <f t="shared" si="29"/>
        <v>#REF!</v>
      </c>
      <c r="J45" s="12" t="e">
        <f t="shared" si="29"/>
        <v>#REF!</v>
      </c>
      <c r="K45" s="12" t="e">
        <f t="shared" si="29"/>
        <v>#REF!</v>
      </c>
      <c r="L45" s="12" t="e">
        <f t="shared" si="29"/>
        <v>#REF!</v>
      </c>
      <c r="M45" s="12" t="e">
        <f t="shared" si="29"/>
        <v>#REF!</v>
      </c>
      <c r="N45" s="12" t="e">
        <f t="shared" si="29"/>
        <v>#REF!</v>
      </c>
      <c r="O45" s="12" t="e">
        <f t="shared" si="24"/>
        <v>#REF!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</sheetData>
  <mergeCells count="21">
    <mergeCell ref="A20:A21"/>
    <mergeCell ref="B20:B21"/>
    <mergeCell ref="C20:N20"/>
    <mergeCell ref="O20:O21"/>
    <mergeCell ref="B29:B30"/>
    <mergeCell ref="C29:N29"/>
    <mergeCell ref="A29:A30"/>
    <mergeCell ref="A38:A39"/>
    <mergeCell ref="B38:B39"/>
    <mergeCell ref="O29:O30"/>
    <mergeCell ref="O38:O39"/>
    <mergeCell ref="C38:N38"/>
    <mergeCell ref="O2:O3"/>
    <mergeCell ref="O11:O12"/>
    <mergeCell ref="A1:O1"/>
    <mergeCell ref="A2:A3"/>
    <mergeCell ref="B2:B3"/>
    <mergeCell ref="C2:N2"/>
    <mergeCell ref="A11:A12"/>
    <mergeCell ref="B11:B12"/>
    <mergeCell ref="C11:N1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85623"/>
  </sheetPr>
  <dimension ref="B2:K242"/>
  <sheetViews>
    <sheetView topLeftCell="A32" zoomScale="160" zoomScaleNormal="100" workbookViewId="0">
      <selection activeCell="K12" sqref="K12"/>
    </sheetView>
  </sheetViews>
  <sheetFormatPr defaultColWidth="10.08203125" defaultRowHeight="18" x14ac:dyDescent="0.35"/>
  <cols>
    <col min="1" max="1" width="10.08203125" style="91"/>
    <col min="2" max="2" width="4" style="91" customWidth="1"/>
    <col min="3" max="3" width="25.08203125" style="91" customWidth="1"/>
    <col min="4" max="4" width="6.6640625" style="158" customWidth="1"/>
    <col min="5" max="7" width="8.6640625" style="91" customWidth="1"/>
    <col min="8" max="8" width="10.9140625" style="91" customWidth="1"/>
    <col min="9" max="10" width="10.08203125" style="91"/>
    <col min="11" max="11" width="16.4140625" style="91" customWidth="1"/>
    <col min="12" max="16384" width="10.08203125" style="91"/>
  </cols>
  <sheetData>
    <row r="2" spans="2:8" ht="24.6" x14ac:dyDescent="0.35">
      <c r="B2" s="244" t="s">
        <v>180</v>
      </c>
      <c r="C2" s="242"/>
      <c r="D2" s="242"/>
      <c r="E2" s="242"/>
      <c r="F2" s="242"/>
      <c r="G2" s="242"/>
      <c r="H2" s="242"/>
    </row>
    <row r="3" spans="2:8" ht="21" x14ac:dyDescent="0.35">
      <c r="B3" s="243" t="s">
        <v>23</v>
      </c>
      <c r="C3" s="242"/>
      <c r="D3" s="242"/>
      <c r="E3" s="242"/>
      <c r="F3" s="242"/>
      <c r="G3" s="242"/>
      <c r="H3" s="242"/>
    </row>
    <row r="4" spans="2:8" ht="28.8" x14ac:dyDescent="0.35">
      <c r="B4" s="50" t="s">
        <v>4</v>
      </c>
      <c r="C4" s="51" t="s">
        <v>24</v>
      </c>
      <c r="D4" s="50" t="s">
        <v>25</v>
      </c>
      <c r="E4" s="51" t="s">
        <v>26</v>
      </c>
      <c r="F4" s="51" t="s">
        <v>150</v>
      </c>
      <c r="G4" s="51" t="s">
        <v>161</v>
      </c>
      <c r="H4" s="51" t="s">
        <v>27</v>
      </c>
    </row>
    <row r="5" spans="2:8" x14ac:dyDescent="0.35">
      <c r="B5" s="55">
        <v>1</v>
      </c>
      <c r="C5" s="159" t="s">
        <v>114</v>
      </c>
      <c r="D5" s="160">
        <v>1</v>
      </c>
      <c r="E5" s="92">
        <v>6000000</v>
      </c>
      <c r="F5" s="116">
        <f>'Insurance Structure'!$E$5*5310000</f>
        <v>1141650</v>
      </c>
      <c r="G5" s="161">
        <f>E5</f>
        <v>6000000</v>
      </c>
      <c r="H5" s="92">
        <f>(E5+F5)*D5*12+G5*D5</f>
        <v>91699800</v>
      </c>
    </row>
    <row r="6" spans="2:8" x14ac:dyDescent="0.35">
      <c r="B6" s="55">
        <v>2</v>
      </c>
      <c r="C6" s="159" t="s">
        <v>189</v>
      </c>
      <c r="D6" s="160">
        <v>1</v>
      </c>
      <c r="E6" s="92">
        <v>5500000</v>
      </c>
      <c r="F6" s="116">
        <f>'Insurance Structure'!$E$5*5310000</f>
        <v>1141650</v>
      </c>
      <c r="G6" s="161">
        <f t="shared" ref="G6:G11" si="0">E6</f>
        <v>5500000</v>
      </c>
      <c r="H6" s="92">
        <f t="shared" ref="H6:H11" si="1">(E6+F6)*D6*12+G6*D6</f>
        <v>85199800</v>
      </c>
    </row>
    <row r="7" spans="2:8" x14ac:dyDescent="0.35">
      <c r="B7" s="55">
        <v>3</v>
      </c>
      <c r="C7" s="159" t="s">
        <v>185</v>
      </c>
      <c r="D7" s="160">
        <v>1</v>
      </c>
      <c r="E7" s="92">
        <v>5500000</v>
      </c>
      <c r="F7" s="116">
        <f>'Insurance Structure'!$E$5*5310000</f>
        <v>1141650</v>
      </c>
      <c r="G7" s="161">
        <f t="shared" si="0"/>
        <v>5500000</v>
      </c>
      <c r="H7" s="92">
        <f t="shared" si="1"/>
        <v>85199800</v>
      </c>
    </row>
    <row r="8" spans="2:8" x14ac:dyDescent="0.35">
      <c r="B8" s="55">
        <v>4</v>
      </c>
      <c r="C8" s="159" t="s">
        <v>186</v>
      </c>
      <c r="D8" s="160">
        <v>1</v>
      </c>
      <c r="E8" s="92">
        <v>5500000</v>
      </c>
      <c r="F8" s="116">
        <f>'Insurance Structure'!$E$5*5310000</f>
        <v>1141650</v>
      </c>
      <c r="G8" s="161">
        <f t="shared" si="0"/>
        <v>5500000</v>
      </c>
      <c r="H8" s="92">
        <f t="shared" si="1"/>
        <v>85199800</v>
      </c>
    </row>
    <row r="9" spans="2:8" x14ac:dyDescent="0.35">
      <c r="B9" s="55">
        <v>5</v>
      </c>
      <c r="C9" s="159" t="s">
        <v>187</v>
      </c>
      <c r="D9" s="160">
        <v>1</v>
      </c>
      <c r="E9" s="92">
        <v>5500000</v>
      </c>
      <c r="F9" s="116">
        <f>'Insurance Structure'!$E$5*5310000</f>
        <v>1141650</v>
      </c>
      <c r="G9" s="161">
        <f t="shared" si="0"/>
        <v>5500000</v>
      </c>
      <c r="H9" s="92">
        <f t="shared" si="1"/>
        <v>85199800</v>
      </c>
    </row>
    <row r="10" spans="2:8" x14ac:dyDescent="0.35">
      <c r="B10" s="55">
        <v>6</v>
      </c>
      <c r="C10" s="159" t="s">
        <v>135</v>
      </c>
      <c r="D10" s="160">
        <v>0</v>
      </c>
      <c r="E10" s="92"/>
      <c r="F10" s="116">
        <f>'Insurance Structure'!$E$5*5310000</f>
        <v>1141650</v>
      </c>
      <c r="G10" s="161">
        <f t="shared" si="0"/>
        <v>0</v>
      </c>
      <c r="H10" s="92">
        <f t="shared" si="1"/>
        <v>0</v>
      </c>
    </row>
    <row r="11" spans="2:8" x14ac:dyDescent="0.35">
      <c r="B11" s="55">
        <v>7</v>
      </c>
      <c r="C11" s="159" t="s">
        <v>188</v>
      </c>
      <c r="D11" s="160">
        <v>1</v>
      </c>
      <c r="E11" s="92">
        <v>5500000</v>
      </c>
      <c r="F11" s="116">
        <f>'Insurance Structure'!$E$5*5310000</f>
        <v>1141650</v>
      </c>
      <c r="G11" s="161">
        <f t="shared" si="0"/>
        <v>5500000</v>
      </c>
      <c r="H11" s="92">
        <f t="shared" si="1"/>
        <v>85199800</v>
      </c>
    </row>
    <row r="12" spans="2:8" x14ac:dyDescent="0.35">
      <c r="B12" s="241" t="s">
        <v>0</v>
      </c>
      <c r="C12" s="242"/>
      <c r="D12" s="154">
        <f>SUM(D5:D11)</f>
        <v>6</v>
      </c>
      <c r="E12" s="93"/>
      <c r="F12" s="162"/>
      <c r="G12" s="93"/>
      <c r="H12" s="163">
        <f t="shared" ref="H12" si="2">SUM(H5:H11)</f>
        <v>517698800</v>
      </c>
    </row>
    <row r="13" spans="2:8" ht="21" x14ac:dyDescent="0.35">
      <c r="B13" s="243" t="s">
        <v>29</v>
      </c>
      <c r="C13" s="242"/>
      <c r="D13" s="242"/>
      <c r="E13" s="242"/>
      <c r="F13" s="242"/>
      <c r="G13" s="242"/>
      <c r="H13" s="242"/>
    </row>
    <row r="14" spans="2:8" ht="28.8" x14ac:dyDescent="0.35">
      <c r="B14" s="50" t="s">
        <v>4</v>
      </c>
      <c r="C14" s="51" t="s">
        <v>24</v>
      </c>
      <c r="D14" s="50" t="s">
        <v>25</v>
      </c>
      <c r="E14" s="51" t="s">
        <v>26</v>
      </c>
      <c r="F14" s="51" t="s">
        <v>100</v>
      </c>
      <c r="G14" s="51" t="s">
        <v>161</v>
      </c>
      <c r="H14" s="51" t="s">
        <v>27</v>
      </c>
    </row>
    <row r="15" spans="2:8" x14ac:dyDescent="0.35">
      <c r="B15" s="55">
        <v>1</v>
      </c>
      <c r="C15" s="159" t="str">
        <f t="shared" ref="C15:C21" si="3">C5</f>
        <v>CEO</v>
      </c>
      <c r="D15" s="160">
        <v>1</v>
      </c>
      <c r="E15" s="92">
        <f t="shared" ref="E15:E19" si="4">E5*105%</f>
        <v>6300000</v>
      </c>
      <c r="F15" s="116">
        <f>'Insurance Structure'!$E$5*5310000</f>
        <v>1141650</v>
      </c>
      <c r="G15" s="161">
        <f>E15</f>
        <v>6300000</v>
      </c>
      <c r="H15" s="92">
        <f>(E15+F15)*D15*12+G15*D15</f>
        <v>95599800</v>
      </c>
    </row>
    <row r="16" spans="2:8" x14ac:dyDescent="0.35">
      <c r="B16" s="55">
        <v>2</v>
      </c>
      <c r="C16" s="159" t="str">
        <f t="shared" si="3"/>
        <v>CDO</v>
      </c>
      <c r="D16" s="160">
        <v>1</v>
      </c>
      <c r="E16" s="92">
        <f t="shared" si="4"/>
        <v>5775000</v>
      </c>
      <c r="F16" s="116">
        <f>'Insurance Structure'!$E$5*5310000</f>
        <v>1141650</v>
      </c>
      <c r="G16" s="161">
        <f t="shared" ref="G16:G21" si="5">E16</f>
        <v>5775000</v>
      </c>
      <c r="H16" s="92">
        <f t="shared" ref="H16:H21" si="6">(E16+F16)*D16*12+G16*D16</f>
        <v>88774800</v>
      </c>
    </row>
    <row r="17" spans="2:8" x14ac:dyDescent="0.35">
      <c r="B17" s="55">
        <v>3</v>
      </c>
      <c r="C17" s="159" t="str">
        <f t="shared" si="3"/>
        <v>CPO</v>
      </c>
      <c r="D17" s="160">
        <v>1</v>
      </c>
      <c r="E17" s="92">
        <f t="shared" si="4"/>
        <v>5775000</v>
      </c>
      <c r="F17" s="116">
        <f>'Insurance Structure'!$E$5*5310000</f>
        <v>1141650</v>
      </c>
      <c r="G17" s="161">
        <f t="shared" si="5"/>
        <v>5775000</v>
      </c>
      <c r="H17" s="92">
        <f t="shared" si="6"/>
        <v>88774800</v>
      </c>
    </row>
    <row r="18" spans="2:8" x14ac:dyDescent="0.35">
      <c r="B18" s="55">
        <v>4</v>
      </c>
      <c r="C18" s="159" t="str">
        <f t="shared" si="3"/>
        <v>CTO</v>
      </c>
      <c r="D18" s="160">
        <v>1</v>
      </c>
      <c r="E18" s="92">
        <f t="shared" si="4"/>
        <v>5775000</v>
      </c>
      <c r="F18" s="116">
        <f>'Insurance Structure'!$E$5*5310000</f>
        <v>1141650</v>
      </c>
      <c r="G18" s="161">
        <f t="shared" si="5"/>
        <v>5775000</v>
      </c>
      <c r="H18" s="92">
        <f t="shared" si="6"/>
        <v>88774800</v>
      </c>
    </row>
    <row r="19" spans="2:8" x14ac:dyDescent="0.35">
      <c r="B19" s="55">
        <v>5</v>
      </c>
      <c r="C19" s="159" t="str">
        <f t="shared" si="3"/>
        <v>CMO</v>
      </c>
      <c r="D19" s="160">
        <v>1</v>
      </c>
      <c r="E19" s="92">
        <f t="shared" si="4"/>
        <v>5775000</v>
      </c>
      <c r="F19" s="116">
        <f>'Insurance Structure'!$E$5*5310000</f>
        <v>1141650</v>
      </c>
      <c r="G19" s="161">
        <f t="shared" si="5"/>
        <v>5775000</v>
      </c>
      <c r="H19" s="92">
        <f t="shared" si="6"/>
        <v>88774800</v>
      </c>
    </row>
    <row r="20" spans="2:8" x14ac:dyDescent="0.35">
      <c r="B20" s="55">
        <v>6</v>
      </c>
      <c r="C20" s="159" t="str">
        <f t="shared" si="3"/>
        <v>Sales &amp; Marketing Staff</v>
      </c>
      <c r="D20" s="160">
        <v>1</v>
      </c>
      <c r="E20" s="92">
        <v>8000000</v>
      </c>
      <c r="F20" s="116">
        <f>'Insurance Structure'!$E$5*5310000</f>
        <v>1141650</v>
      </c>
      <c r="G20" s="161">
        <f t="shared" si="5"/>
        <v>8000000</v>
      </c>
      <c r="H20" s="92">
        <f t="shared" si="6"/>
        <v>117699800</v>
      </c>
    </row>
    <row r="21" spans="2:8" x14ac:dyDescent="0.35">
      <c r="B21" s="55">
        <v>7</v>
      </c>
      <c r="C21" s="159" t="str">
        <f t="shared" si="3"/>
        <v>CFO</v>
      </c>
      <c r="D21" s="160">
        <v>1</v>
      </c>
      <c r="E21" s="92">
        <f>E11*105%</f>
        <v>5775000</v>
      </c>
      <c r="F21" s="116">
        <f>'Insurance Structure'!$E$5*5310000</f>
        <v>1141650</v>
      </c>
      <c r="G21" s="161">
        <f t="shared" si="5"/>
        <v>5775000</v>
      </c>
      <c r="H21" s="92">
        <f t="shared" si="6"/>
        <v>88774800</v>
      </c>
    </row>
    <row r="22" spans="2:8" x14ac:dyDescent="0.35">
      <c r="B22" s="245" t="s">
        <v>0</v>
      </c>
      <c r="C22" s="246"/>
      <c r="D22" s="164">
        <f>SUM(D15:D21)</f>
        <v>7</v>
      </c>
      <c r="E22" s="165"/>
      <c r="F22" s="162"/>
      <c r="G22" s="165"/>
      <c r="H22" s="166">
        <f t="shared" ref="H22" si="7">SUM(H15:H21)</f>
        <v>657173600</v>
      </c>
    </row>
    <row r="23" spans="2:8" ht="21" x14ac:dyDescent="0.35">
      <c r="B23" s="243" t="s">
        <v>30</v>
      </c>
      <c r="C23" s="242"/>
      <c r="D23" s="242"/>
      <c r="E23" s="242"/>
      <c r="F23" s="242"/>
      <c r="G23" s="242"/>
      <c r="H23" s="242"/>
    </row>
    <row r="24" spans="2:8" ht="28.8" x14ac:dyDescent="0.35">
      <c r="B24" s="50" t="s">
        <v>4</v>
      </c>
      <c r="C24" s="51" t="s">
        <v>24</v>
      </c>
      <c r="D24" s="50" t="s">
        <v>25</v>
      </c>
      <c r="E24" s="51" t="s">
        <v>26</v>
      </c>
      <c r="F24" s="51" t="s">
        <v>100</v>
      </c>
      <c r="G24" s="51" t="s">
        <v>161</v>
      </c>
      <c r="H24" s="51" t="s">
        <v>27</v>
      </c>
    </row>
    <row r="25" spans="2:8" x14ac:dyDescent="0.35">
      <c r="B25" s="55">
        <v>1</v>
      </c>
      <c r="C25" s="159" t="str">
        <f t="shared" ref="C25:C31" si="8">C15</f>
        <v>CEO</v>
      </c>
      <c r="D25" s="160">
        <v>1</v>
      </c>
      <c r="E25" s="92">
        <v>10000000</v>
      </c>
      <c r="F25" s="116">
        <f>'Insurance Structure'!$E$5*5310000</f>
        <v>1141650</v>
      </c>
      <c r="G25" s="161">
        <f>E25</f>
        <v>10000000</v>
      </c>
      <c r="H25" s="92">
        <f>(E25+F25)*D25*12+G25*D25</f>
        <v>143699800</v>
      </c>
    </row>
    <row r="26" spans="2:8" x14ac:dyDescent="0.35">
      <c r="B26" s="55">
        <v>2</v>
      </c>
      <c r="C26" s="159" t="str">
        <f t="shared" si="8"/>
        <v>CDO</v>
      </c>
      <c r="D26" s="160">
        <v>1</v>
      </c>
      <c r="E26" s="92">
        <v>8000000</v>
      </c>
      <c r="F26" s="116">
        <f>'Insurance Structure'!$E$5*5310000</f>
        <v>1141650</v>
      </c>
      <c r="G26" s="161">
        <f t="shared" ref="G26:G31" si="9">E26</f>
        <v>8000000</v>
      </c>
      <c r="H26" s="92">
        <f t="shared" ref="H26:H31" si="10">(E26+F26)*D26*12+G26*D26</f>
        <v>117699800</v>
      </c>
    </row>
    <row r="27" spans="2:8" x14ac:dyDescent="0.35">
      <c r="B27" s="55">
        <v>3</v>
      </c>
      <c r="C27" s="159" t="str">
        <f t="shared" si="8"/>
        <v>CPO</v>
      </c>
      <c r="D27" s="160">
        <v>1</v>
      </c>
      <c r="E27" s="92">
        <v>8000000</v>
      </c>
      <c r="F27" s="116">
        <f>'Insurance Structure'!$E$5*5310000</f>
        <v>1141650</v>
      </c>
      <c r="G27" s="161">
        <f t="shared" si="9"/>
        <v>8000000</v>
      </c>
      <c r="H27" s="92">
        <f t="shared" si="10"/>
        <v>117699800</v>
      </c>
    </row>
    <row r="28" spans="2:8" x14ac:dyDescent="0.35">
      <c r="B28" s="55">
        <v>4</v>
      </c>
      <c r="C28" s="159" t="str">
        <f t="shared" si="8"/>
        <v>CTO</v>
      </c>
      <c r="D28" s="160">
        <v>1</v>
      </c>
      <c r="E28" s="92">
        <v>8000000</v>
      </c>
      <c r="F28" s="116">
        <f>'Insurance Structure'!$E$5*5310000</f>
        <v>1141650</v>
      </c>
      <c r="G28" s="161">
        <f t="shared" si="9"/>
        <v>8000000</v>
      </c>
      <c r="H28" s="92">
        <f t="shared" si="10"/>
        <v>117699800</v>
      </c>
    </row>
    <row r="29" spans="2:8" x14ac:dyDescent="0.35">
      <c r="B29" s="55">
        <v>5</v>
      </c>
      <c r="C29" s="159" t="str">
        <f t="shared" si="8"/>
        <v>CMO</v>
      </c>
      <c r="D29" s="160">
        <v>1</v>
      </c>
      <c r="E29" s="92">
        <v>8000000</v>
      </c>
      <c r="F29" s="116">
        <f>'Insurance Structure'!$E$5*5310000</f>
        <v>1141650</v>
      </c>
      <c r="G29" s="161">
        <f t="shared" si="9"/>
        <v>8000000</v>
      </c>
      <c r="H29" s="92">
        <f t="shared" si="10"/>
        <v>117699800</v>
      </c>
    </row>
    <row r="30" spans="2:8" x14ac:dyDescent="0.35">
      <c r="B30" s="55">
        <v>6</v>
      </c>
      <c r="C30" s="159" t="str">
        <f t="shared" si="8"/>
        <v>Sales &amp; Marketing Staff</v>
      </c>
      <c r="D30" s="160">
        <v>1</v>
      </c>
      <c r="E30" s="92">
        <f>E20*105%</f>
        <v>8400000</v>
      </c>
      <c r="F30" s="116">
        <f>'Insurance Structure'!$E$5*5310000</f>
        <v>1141650</v>
      </c>
      <c r="G30" s="161">
        <f t="shared" si="9"/>
        <v>8400000</v>
      </c>
      <c r="H30" s="92">
        <f t="shared" si="10"/>
        <v>122899800</v>
      </c>
    </row>
    <row r="31" spans="2:8" x14ac:dyDescent="0.35">
      <c r="B31" s="55">
        <v>7</v>
      </c>
      <c r="C31" s="159" t="str">
        <f t="shared" si="8"/>
        <v>CFO</v>
      </c>
      <c r="D31" s="160">
        <v>1</v>
      </c>
      <c r="E31" s="92">
        <v>8000000</v>
      </c>
      <c r="F31" s="116">
        <f>'Insurance Structure'!$E$5*5310000</f>
        <v>1141650</v>
      </c>
      <c r="G31" s="161">
        <f t="shared" si="9"/>
        <v>8000000</v>
      </c>
      <c r="H31" s="92">
        <f t="shared" si="10"/>
        <v>117699800</v>
      </c>
    </row>
    <row r="32" spans="2:8" x14ac:dyDescent="0.35">
      <c r="B32" s="245" t="s">
        <v>0</v>
      </c>
      <c r="C32" s="246"/>
      <c r="D32" s="164">
        <f>SUM(D25:D31)</f>
        <v>7</v>
      </c>
      <c r="E32" s="165"/>
      <c r="F32" s="162"/>
      <c r="G32" s="165"/>
      <c r="H32" s="166">
        <f t="shared" ref="H32" si="11">SUM(H25:H31)</f>
        <v>855098600</v>
      </c>
    </row>
    <row r="33" spans="2:11" ht="21" x14ac:dyDescent="0.35">
      <c r="B33" s="243" t="s">
        <v>31</v>
      </c>
      <c r="C33" s="242"/>
      <c r="D33" s="242"/>
      <c r="E33" s="242"/>
      <c r="F33" s="242"/>
      <c r="G33" s="242"/>
      <c r="H33" s="242"/>
    </row>
    <row r="34" spans="2:11" ht="28.8" x14ac:dyDescent="0.35">
      <c r="B34" s="50" t="s">
        <v>4</v>
      </c>
      <c r="C34" s="51" t="s">
        <v>24</v>
      </c>
      <c r="D34" s="50" t="s">
        <v>25</v>
      </c>
      <c r="E34" s="51" t="s">
        <v>26</v>
      </c>
      <c r="F34" s="51" t="s">
        <v>100</v>
      </c>
      <c r="G34" s="51" t="s">
        <v>161</v>
      </c>
      <c r="H34" s="51" t="s">
        <v>27</v>
      </c>
    </row>
    <row r="35" spans="2:11" x14ac:dyDescent="0.35">
      <c r="B35" s="55">
        <v>1</v>
      </c>
      <c r="C35" s="159" t="str">
        <f t="shared" ref="C35:C41" si="12">C25</f>
        <v>CEO</v>
      </c>
      <c r="D35" s="160">
        <v>1</v>
      </c>
      <c r="E35" s="92">
        <v>12000000</v>
      </c>
      <c r="F35" s="116">
        <f>'Insurance Structure'!$E$5*5310000</f>
        <v>1141650</v>
      </c>
      <c r="G35" s="161">
        <f>E35</f>
        <v>12000000</v>
      </c>
      <c r="H35" s="92">
        <f>(E35+F35)*D35*12+G35*D35</f>
        <v>169699800</v>
      </c>
    </row>
    <row r="36" spans="2:11" x14ac:dyDescent="0.35">
      <c r="B36" s="55">
        <v>2</v>
      </c>
      <c r="C36" s="159" t="str">
        <f t="shared" si="12"/>
        <v>CDO</v>
      </c>
      <c r="D36" s="160">
        <v>1</v>
      </c>
      <c r="E36" s="92">
        <v>10000000</v>
      </c>
      <c r="F36" s="116">
        <f>'Insurance Structure'!$E$5*5310000</f>
        <v>1141650</v>
      </c>
      <c r="G36" s="161">
        <f t="shared" ref="G36:G41" si="13">E36</f>
        <v>10000000</v>
      </c>
      <c r="H36" s="92">
        <f t="shared" ref="H36:H41" si="14">(E36+F36)*D36*12+G36*D36</f>
        <v>143699800</v>
      </c>
    </row>
    <row r="37" spans="2:11" x14ac:dyDescent="0.35">
      <c r="B37" s="55">
        <v>3</v>
      </c>
      <c r="C37" s="159" t="str">
        <f t="shared" si="12"/>
        <v>CPO</v>
      </c>
      <c r="D37" s="160">
        <v>1</v>
      </c>
      <c r="E37" s="92">
        <v>10000000</v>
      </c>
      <c r="F37" s="116">
        <f>'Insurance Structure'!$E$5*5310000</f>
        <v>1141650</v>
      </c>
      <c r="G37" s="161">
        <f t="shared" si="13"/>
        <v>10000000</v>
      </c>
      <c r="H37" s="92">
        <f t="shared" si="14"/>
        <v>143699800</v>
      </c>
    </row>
    <row r="38" spans="2:11" x14ac:dyDescent="0.35">
      <c r="B38" s="55">
        <v>4</v>
      </c>
      <c r="C38" s="159" t="str">
        <f t="shared" si="12"/>
        <v>CTO</v>
      </c>
      <c r="D38" s="160">
        <v>1</v>
      </c>
      <c r="E38" s="92">
        <v>10000000</v>
      </c>
      <c r="F38" s="116">
        <f>'Insurance Structure'!$E$5*5310000</f>
        <v>1141650</v>
      </c>
      <c r="G38" s="161">
        <f t="shared" si="13"/>
        <v>10000000</v>
      </c>
      <c r="H38" s="92">
        <f t="shared" si="14"/>
        <v>143699800</v>
      </c>
    </row>
    <row r="39" spans="2:11" x14ac:dyDescent="0.35">
      <c r="B39" s="55">
        <v>5</v>
      </c>
      <c r="C39" s="159" t="str">
        <f t="shared" si="12"/>
        <v>CMO</v>
      </c>
      <c r="D39" s="160">
        <v>1</v>
      </c>
      <c r="E39" s="92">
        <v>10000000</v>
      </c>
      <c r="F39" s="116">
        <f>'Insurance Structure'!$E$5*5310000</f>
        <v>1141650</v>
      </c>
      <c r="G39" s="161">
        <f t="shared" si="13"/>
        <v>10000000</v>
      </c>
      <c r="H39" s="92">
        <f t="shared" si="14"/>
        <v>143699800</v>
      </c>
    </row>
    <row r="40" spans="2:11" x14ac:dyDescent="0.35">
      <c r="B40" s="55">
        <v>6</v>
      </c>
      <c r="C40" s="159" t="str">
        <f t="shared" si="12"/>
        <v>Sales &amp; Marketing Staff</v>
      </c>
      <c r="D40" s="160">
        <v>2</v>
      </c>
      <c r="E40" s="92">
        <f>E30*105%</f>
        <v>8820000</v>
      </c>
      <c r="F40" s="116">
        <f>'Insurance Structure'!$E$5*5310000</f>
        <v>1141650</v>
      </c>
      <c r="G40" s="161">
        <f t="shared" si="13"/>
        <v>8820000</v>
      </c>
      <c r="H40" s="92">
        <f t="shared" si="14"/>
        <v>256719600</v>
      </c>
    </row>
    <row r="41" spans="2:11" x14ac:dyDescent="0.35">
      <c r="B41" s="55">
        <v>7</v>
      </c>
      <c r="C41" s="159" t="str">
        <f t="shared" si="12"/>
        <v>CFO</v>
      </c>
      <c r="D41" s="160">
        <v>1</v>
      </c>
      <c r="E41" s="92">
        <v>10000000</v>
      </c>
      <c r="F41" s="116">
        <f>'Insurance Structure'!$E$5*5310000</f>
        <v>1141650</v>
      </c>
      <c r="G41" s="161">
        <f t="shared" si="13"/>
        <v>10000000</v>
      </c>
      <c r="H41" s="92">
        <f t="shared" si="14"/>
        <v>143699800</v>
      </c>
    </row>
    <row r="42" spans="2:11" x14ac:dyDescent="0.35">
      <c r="B42" s="241" t="s">
        <v>0</v>
      </c>
      <c r="C42" s="242"/>
      <c r="D42" s="154">
        <f>SUM(D35:D41)</f>
        <v>8</v>
      </c>
      <c r="E42" s="93"/>
      <c r="F42" s="162"/>
      <c r="G42" s="93"/>
      <c r="H42" s="163">
        <f t="shared" ref="H42" si="15">SUM(H35:H41)</f>
        <v>1144918400</v>
      </c>
    </row>
    <row r="43" spans="2:11" x14ac:dyDescent="0.35">
      <c r="B43" s="157"/>
      <c r="C43" s="156"/>
      <c r="D43" s="157"/>
      <c r="E43" s="156"/>
      <c r="F43" s="156"/>
      <c r="G43" s="156"/>
      <c r="H43" s="156"/>
    </row>
    <row r="44" spans="2:11" x14ac:dyDescent="0.35">
      <c r="B44" s="157"/>
      <c r="C44" s="156"/>
      <c r="D44" s="157"/>
      <c r="E44" s="156"/>
      <c r="F44" s="156"/>
      <c r="G44" s="156"/>
      <c r="H44" s="156"/>
    </row>
    <row r="45" spans="2:11" x14ac:dyDescent="0.35">
      <c r="B45" s="157"/>
      <c r="C45" s="156"/>
      <c r="D45" s="157"/>
      <c r="E45" s="156"/>
      <c r="F45" s="156"/>
      <c r="G45" s="156"/>
      <c r="H45" s="156"/>
      <c r="J45" s="205" t="s">
        <v>27</v>
      </c>
      <c r="K45" s="205" t="s">
        <v>151</v>
      </c>
    </row>
    <row r="46" spans="2:11" x14ac:dyDescent="0.35">
      <c r="B46" s="157"/>
      <c r="C46" s="156"/>
      <c r="D46" s="157"/>
      <c r="E46" s="156"/>
      <c r="F46" s="156"/>
      <c r="G46" s="156"/>
      <c r="H46" s="156"/>
      <c r="J46" s="206">
        <v>2026</v>
      </c>
      <c r="K46" s="207">
        <v>517698800</v>
      </c>
    </row>
    <row r="47" spans="2:11" x14ac:dyDescent="0.35">
      <c r="B47" s="157"/>
      <c r="C47" s="156"/>
      <c r="D47" s="157"/>
      <c r="E47" s="156"/>
      <c r="F47" s="156"/>
      <c r="G47" s="156"/>
      <c r="H47" s="156"/>
      <c r="J47" s="206">
        <v>2027</v>
      </c>
      <c r="K47" s="207">
        <v>657173600</v>
      </c>
    </row>
    <row r="48" spans="2:11" x14ac:dyDescent="0.35">
      <c r="B48" s="157"/>
      <c r="C48" s="156"/>
      <c r="D48" s="157"/>
      <c r="E48" s="156"/>
      <c r="F48" s="156"/>
      <c r="G48" s="156"/>
      <c r="H48" s="156"/>
      <c r="J48" s="206">
        <v>2028</v>
      </c>
      <c r="K48" s="207">
        <v>855098600</v>
      </c>
    </row>
    <row r="49" spans="2:11" x14ac:dyDescent="0.35">
      <c r="B49" s="157"/>
      <c r="C49" s="156"/>
      <c r="D49" s="157"/>
      <c r="E49" s="156"/>
      <c r="F49" s="156"/>
      <c r="G49" s="156"/>
      <c r="H49" s="156"/>
      <c r="J49" s="206">
        <v>2029</v>
      </c>
      <c r="K49" s="207">
        <v>1144918400</v>
      </c>
    </row>
    <row r="50" spans="2:11" x14ac:dyDescent="0.35">
      <c r="B50" s="157"/>
      <c r="C50" s="156"/>
      <c r="D50" s="157"/>
      <c r="E50" s="156"/>
      <c r="F50" s="156"/>
      <c r="G50" s="156"/>
      <c r="H50" s="156"/>
    </row>
    <row r="51" spans="2:11" x14ac:dyDescent="0.35">
      <c r="B51" s="157"/>
      <c r="C51" s="156"/>
      <c r="D51" s="157"/>
      <c r="E51" s="156"/>
      <c r="F51" s="156"/>
      <c r="G51" s="156"/>
      <c r="H51" s="156"/>
    </row>
    <row r="52" spans="2:11" x14ac:dyDescent="0.35">
      <c r="B52" s="157"/>
      <c r="C52" s="156"/>
      <c r="D52" s="157"/>
      <c r="E52" s="156"/>
      <c r="F52" s="156"/>
      <c r="G52" s="156"/>
      <c r="H52" s="156"/>
    </row>
    <row r="53" spans="2:11" x14ac:dyDescent="0.35">
      <c r="B53" s="157"/>
      <c r="C53" s="156"/>
      <c r="D53" s="157"/>
      <c r="E53" s="156"/>
      <c r="F53" s="156"/>
      <c r="G53" s="156"/>
      <c r="H53" s="156"/>
    </row>
    <row r="54" spans="2:11" x14ac:dyDescent="0.35">
      <c r="B54" s="157"/>
      <c r="C54" s="156"/>
      <c r="D54" s="157"/>
      <c r="E54" s="156"/>
      <c r="F54" s="156"/>
      <c r="G54" s="156"/>
      <c r="H54" s="156"/>
    </row>
    <row r="55" spans="2:11" x14ac:dyDescent="0.35">
      <c r="B55" s="157"/>
      <c r="C55" s="156"/>
      <c r="D55" s="157"/>
      <c r="E55" s="156"/>
      <c r="F55" s="156"/>
      <c r="G55" s="156"/>
      <c r="H55" s="156"/>
    </row>
    <row r="56" spans="2:11" x14ac:dyDescent="0.35">
      <c r="B56" s="157"/>
      <c r="C56" s="156"/>
      <c r="D56" s="157"/>
      <c r="E56" s="156"/>
      <c r="F56" s="156"/>
      <c r="G56" s="156"/>
      <c r="H56" s="156"/>
    </row>
    <row r="57" spans="2:11" x14ac:dyDescent="0.35">
      <c r="B57" s="157"/>
      <c r="C57" s="156"/>
      <c r="D57" s="157"/>
      <c r="E57" s="156"/>
      <c r="F57" s="156"/>
      <c r="G57" s="156"/>
      <c r="H57" s="156"/>
    </row>
    <row r="58" spans="2:11" x14ac:dyDescent="0.35">
      <c r="B58" s="157"/>
      <c r="C58" s="156"/>
      <c r="D58" s="157"/>
      <c r="E58" s="156"/>
      <c r="F58" s="156"/>
      <c r="G58" s="156"/>
      <c r="H58" s="156"/>
    </row>
    <row r="59" spans="2:11" x14ac:dyDescent="0.35">
      <c r="B59" s="157"/>
      <c r="C59" s="156"/>
      <c r="D59" s="157"/>
      <c r="E59" s="156"/>
      <c r="F59" s="156"/>
      <c r="G59" s="156"/>
      <c r="H59" s="156"/>
    </row>
    <row r="60" spans="2:11" x14ac:dyDescent="0.35">
      <c r="B60" s="157"/>
      <c r="C60" s="156"/>
      <c r="D60" s="157"/>
      <c r="E60" s="156"/>
      <c r="F60" s="156"/>
      <c r="G60" s="156"/>
      <c r="H60" s="156"/>
    </row>
    <row r="61" spans="2:11" x14ac:dyDescent="0.35">
      <c r="B61" s="157"/>
      <c r="C61" s="156"/>
      <c r="D61" s="157"/>
      <c r="E61" s="156"/>
      <c r="F61" s="156"/>
      <c r="G61" s="156"/>
      <c r="H61" s="156"/>
    </row>
    <row r="62" spans="2:11" x14ac:dyDescent="0.35">
      <c r="B62" s="157"/>
      <c r="C62" s="156"/>
      <c r="D62" s="157"/>
      <c r="E62" s="156"/>
      <c r="F62" s="156"/>
      <c r="G62" s="156"/>
      <c r="H62" s="156"/>
    </row>
    <row r="63" spans="2:11" x14ac:dyDescent="0.35">
      <c r="B63" s="157"/>
      <c r="C63" s="156"/>
      <c r="D63" s="157"/>
      <c r="E63" s="156"/>
      <c r="F63" s="156"/>
      <c r="G63" s="156"/>
      <c r="H63" s="156"/>
    </row>
    <row r="64" spans="2:11" x14ac:dyDescent="0.35">
      <c r="B64" s="157"/>
      <c r="C64" s="156"/>
      <c r="D64" s="157"/>
      <c r="E64" s="156"/>
      <c r="F64" s="156"/>
      <c r="G64" s="156"/>
      <c r="H64" s="156"/>
    </row>
    <row r="65" spans="2:8" x14ac:dyDescent="0.35">
      <c r="B65" s="157"/>
      <c r="C65" s="156"/>
      <c r="D65" s="157"/>
      <c r="E65" s="156"/>
      <c r="F65" s="156"/>
      <c r="G65" s="156"/>
      <c r="H65" s="156"/>
    </row>
    <row r="66" spans="2:8" x14ac:dyDescent="0.35">
      <c r="B66" s="157"/>
      <c r="C66" s="156"/>
      <c r="D66" s="157"/>
      <c r="E66" s="156"/>
      <c r="F66" s="156"/>
      <c r="G66" s="156"/>
      <c r="H66" s="156"/>
    </row>
    <row r="67" spans="2:8" x14ac:dyDescent="0.35">
      <c r="B67" s="157"/>
      <c r="C67" s="156"/>
      <c r="D67" s="157"/>
      <c r="E67" s="156"/>
      <c r="F67" s="156"/>
      <c r="G67" s="156"/>
      <c r="H67" s="156"/>
    </row>
    <row r="68" spans="2:8" x14ac:dyDescent="0.35">
      <c r="B68" s="157"/>
      <c r="C68" s="156"/>
      <c r="D68" s="157"/>
      <c r="E68" s="156"/>
      <c r="F68" s="156"/>
      <c r="G68" s="156"/>
      <c r="H68" s="156"/>
    </row>
    <row r="69" spans="2:8" x14ac:dyDescent="0.35">
      <c r="B69" s="157"/>
      <c r="C69" s="156"/>
      <c r="D69" s="157"/>
      <c r="E69" s="156"/>
      <c r="F69" s="156"/>
      <c r="G69" s="156"/>
      <c r="H69" s="156"/>
    </row>
    <row r="70" spans="2:8" x14ac:dyDescent="0.35">
      <c r="B70" s="157"/>
      <c r="C70" s="156"/>
      <c r="D70" s="157"/>
      <c r="E70" s="156"/>
      <c r="F70" s="156"/>
      <c r="G70" s="156"/>
      <c r="H70" s="156"/>
    </row>
    <row r="71" spans="2:8" x14ac:dyDescent="0.35">
      <c r="B71" s="157"/>
      <c r="C71" s="156"/>
      <c r="D71" s="157"/>
      <c r="E71" s="156"/>
      <c r="F71" s="156"/>
      <c r="G71" s="156"/>
      <c r="H71" s="156"/>
    </row>
    <row r="72" spans="2:8" x14ac:dyDescent="0.35">
      <c r="B72" s="157"/>
      <c r="C72" s="156"/>
      <c r="D72" s="157"/>
      <c r="E72" s="156"/>
      <c r="F72" s="156"/>
      <c r="G72" s="156"/>
      <c r="H72" s="156"/>
    </row>
    <row r="73" spans="2:8" x14ac:dyDescent="0.35">
      <c r="B73" s="157"/>
      <c r="C73" s="156"/>
      <c r="D73" s="157"/>
      <c r="E73" s="156"/>
      <c r="F73" s="156"/>
      <c r="G73" s="156"/>
      <c r="H73" s="156"/>
    </row>
    <row r="74" spans="2:8" x14ac:dyDescent="0.35">
      <c r="B74" s="157"/>
      <c r="C74" s="156"/>
      <c r="D74" s="157"/>
      <c r="E74" s="156"/>
      <c r="F74" s="156"/>
      <c r="G74" s="156"/>
      <c r="H74" s="156"/>
    </row>
    <row r="75" spans="2:8" x14ac:dyDescent="0.35">
      <c r="B75" s="157"/>
      <c r="C75" s="156"/>
      <c r="D75" s="157"/>
      <c r="E75" s="156"/>
      <c r="F75" s="156"/>
      <c r="G75" s="156"/>
      <c r="H75" s="156"/>
    </row>
    <row r="76" spans="2:8" x14ac:dyDescent="0.35">
      <c r="B76" s="157"/>
      <c r="C76" s="156"/>
      <c r="D76" s="157"/>
      <c r="E76" s="156"/>
      <c r="F76" s="156"/>
      <c r="G76" s="156"/>
      <c r="H76" s="156"/>
    </row>
    <row r="77" spans="2:8" x14ac:dyDescent="0.35">
      <c r="B77" s="157"/>
      <c r="C77" s="156"/>
      <c r="D77" s="157"/>
      <c r="E77" s="156"/>
      <c r="F77" s="156"/>
      <c r="G77" s="156"/>
      <c r="H77" s="156"/>
    </row>
    <row r="78" spans="2:8" x14ac:dyDescent="0.35">
      <c r="B78" s="157"/>
      <c r="C78" s="156"/>
      <c r="D78" s="157"/>
      <c r="E78" s="156"/>
      <c r="F78" s="156"/>
      <c r="G78" s="156"/>
      <c r="H78" s="156"/>
    </row>
    <row r="79" spans="2:8" x14ac:dyDescent="0.35">
      <c r="B79" s="157"/>
      <c r="C79" s="156"/>
      <c r="D79" s="157"/>
      <c r="E79" s="156"/>
      <c r="F79" s="156"/>
      <c r="G79" s="156"/>
      <c r="H79" s="156"/>
    </row>
    <row r="80" spans="2:8" x14ac:dyDescent="0.35">
      <c r="B80" s="157"/>
      <c r="C80" s="156"/>
      <c r="D80" s="157"/>
      <c r="E80" s="156"/>
      <c r="F80" s="156"/>
      <c r="G80" s="156"/>
      <c r="H80" s="156"/>
    </row>
    <row r="81" spans="2:8" x14ac:dyDescent="0.35">
      <c r="B81" s="157"/>
      <c r="C81" s="156"/>
      <c r="D81" s="157"/>
      <c r="E81" s="156"/>
      <c r="F81" s="156"/>
      <c r="G81" s="156"/>
      <c r="H81" s="156"/>
    </row>
    <row r="82" spans="2:8" x14ac:dyDescent="0.35">
      <c r="B82" s="157"/>
      <c r="C82" s="156"/>
      <c r="D82" s="157"/>
      <c r="E82" s="156"/>
      <c r="F82" s="156"/>
      <c r="G82" s="156"/>
      <c r="H82" s="156"/>
    </row>
    <row r="83" spans="2:8" x14ac:dyDescent="0.35">
      <c r="B83" s="157"/>
      <c r="C83" s="156"/>
      <c r="D83" s="157"/>
      <c r="E83" s="156"/>
      <c r="F83" s="156"/>
      <c r="G83" s="156"/>
      <c r="H83" s="156"/>
    </row>
    <row r="84" spans="2:8" x14ac:dyDescent="0.35">
      <c r="B84" s="157"/>
      <c r="C84" s="156"/>
      <c r="D84" s="157"/>
      <c r="E84" s="156"/>
      <c r="F84" s="156"/>
      <c r="G84" s="156"/>
      <c r="H84" s="156"/>
    </row>
    <row r="85" spans="2:8" x14ac:dyDescent="0.35">
      <c r="B85" s="157"/>
      <c r="C85" s="156"/>
      <c r="D85" s="157"/>
      <c r="E85" s="156"/>
      <c r="F85" s="156"/>
      <c r="G85" s="156"/>
      <c r="H85" s="156"/>
    </row>
    <row r="86" spans="2:8" x14ac:dyDescent="0.35">
      <c r="B86" s="157"/>
      <c r="C86" s="156"/>
      <c r="D86" s="157"/>
      <c r="E86" s="156"/>
      <c r="F86" s="156"/>
      <c r="G86" s="156"/>
      <c r="H86" s="156"/>
    </row>
    <row r="87" spans="2:8" x14ac:dyDescent="0.35">
      <c r="B87" s="157"/>
      <c r="C87" s="156"/>
      <c r="D87" s="157"/>
      <c r="E87" s="156"/>
      <c r="F87" s="156"/>
      <c r="G87" s="156"/>
      <c r="H87" s="156"/>
    </row>
    <row r="88" spans="2:8" x14ac:dyDescent="0.35">
      <c r="B88" s="157"/>
      <c r="C88" s="156"/>
      <c r="D88" s="157"/>
      <c r="E88" s="156"/>
      <c r="F88" s="156"/>
      <c r="G88" s="156"/>
      <c r="H88" s="156"/>
    </row>
    <row r="89" spans="2:8" x14ac:dyDescent="0.35">
      <c r="B89" s="157"/>
      <c r="C89" s="156"/>
      <c r="D89" s="157"/>
      <c r="E89" s="156"/>
      <c r="F89" s="156"/>
      <c r="G89" s="156"/>
      <c r="H89" s="156"/>
    </row>
    <row r="90" spans="2:8" x14ac:dyDescent="0.35">
      <c r="B90" s="157"/>
      <c r="C90" s="156"/>
      <c r="D90" s="157"/>
      <c r="E90" s="156"/>
      <c r="F90" s="156"/>
      <c r="G90" s="156"/>
      <c r="H90" s="156"/>
    </row>
    <row r="91" spans="2:8" x14ac:dyDescent="0.35">
      <c r="B91" s="157"/>
      <c r="C91" s="156"/>
      <c r="D91" s="157"/>
      <c r="E91" s="156"/>
      <c r="F91" s="156"/>
      <c r="G91" s="156"/>
      <c r="H91" s="156"/>
    </row>
    <row r="92" spans="2:8" x14ac:dyDescent="0.35">
      <c r="B92" s="157"/>
      <c r="C92" s="156"/>
      <c r="D92" s="157"/>
      <c r="E92" s="156"/>
      <c r="F92" s="156"/>
      <c r="G92" s="156"/>
      <c r="H92" s="156"/>
    </row>
    <row r="93" spans="2:8" x14ac:dyDescent="0.35">
      <c r="B93" s="157"/>
      <c r="C93" s="156"/>
      <c r="D93" s="157"/>
      <c r="E93" s="156"/>
      <c r="F93" s="156"/>
      <c r="G93" s="156"/>
      <c r="H93" s="156"/>
    </row>
    <row r="94" spans="2:8" x14ac:dyDescent="0.35">
      <c r="B94" s="157"/>
      <c r="C94" s="156"/>
      <c r="D94" s="157"/>
      <c r="E94" s="156"/>
      <c r="F94" s="156"/>
      <c r="G94" s="156"/>
      <c r="H94" s="156"/>
    </row>
    <row r="95" spans="2:8" x14ac:dyDescent="0.35">
      <c r="B95" s="157"/>
      <c r="C95" s="156"/>
      <c r="D95" s="157"/>
      <c r="E95" s="156"/>
      <c r="F95" s="156"/>
      <c r="G95" s="156"/>
      <c r="H95" s="156"/>
    </row>
    <row r="96" spans="2:8" x14ac:dyDescent="0.35">
      <c r="B96" s="157"/>
      <c r="C96" s="156"/>
      <c r="D96" s="157"/>
      <c r="E96" s="156"/>
      <c r="F96" s="156"/>
      <c r="G96" s="156"/>
      <c r="H96" s="156"/>
    </row>
    <row r="97" spans="2:8" x14ac:dyDescent="0.35">
      <c r="B97" s="157"/>
      <c r="C97" s="156"/>
      <c r="D97" s="157"/>
      <c r="E97" s="156"/>
      <c r="F97" s="156"/>
      <c r="G97" s="156"/>
      <c r="H97" s="156"/>
    </row>
    <row r="98" spans="2:8" x14ac:dyDescent="0.35">
      <c r="B98" s="157"/>
      <c r="C98" s="156"/>
      <c r="D98" s="157"/>
      <c r="E98" s="156"/>
      <c r="F98" s="156"/>
      <c r="G98" s="156"/>
      <c r="H98" s="156"/>
    </row>
    <row r="99" spans="2:8" x14ac:dyDescent="0.35">
      <c r="B99" s="157"/>
      <c r="C99" s="156"/>
      <c r="D99" s="157"/>
      <c r="E99" s="156"/>
      <c r="F99" s="156"/>
      <c r="G99" s="156"/>
      <c r="H99" s="156"/>
    </row>
    <row r="100" spans="2:8" x14ac:dyDescent="0.35">
      <c r="B100" s="157"/>
      <c r="C100" s="156"/>
      <c r="D100" s="157"/>
      <c r="E100" s="156"/>
      <c r="F100" s="156"/>
      <c r="G100" s="156"/>
      <c r="H100" s="156"/>
    </row>
    <row r="101" spans="2:8" x14ac:dyDescent="0.35">
      <c r="B101" s="157"/>
      <c r="C101" s="156"/>
      <c r="D101" s="157"/>
      <c r="E101" s="156"/>
      <c r="F101" s="156"/>
      <c r="G101" s="156"/>
      <c r="H101" s="156"/>
    </row>
    <row r="102" spans="2:8" x14ac:dyDescent="0.35">
      <c r="B102" s="157"/>
      <c r="C102" s="156"/>
      <c r="D102" s="157"/>
      <c r="E102" s="156"/>
      <c r="F102" s="156"/>
      <c r="G102" s="156"/>
      <c r="H102" s="156"/>
    </row>
    <row r="103" spans="2:8" x14ac:dyDescent="0.35">
      <c r="B103" s="157"/>
      <c r="C103" s="156"/>
      <c r="D103" s="157"/>
      <c r="E103" s="156"/>
      <c r="F103" s="156"/>
      <c r="G103" s="156"/>
      <c r="H103" s="156"/>
    </row>
    <row r="104" spans="2:8" x14ac:dyDescent="0.35">
      <c r="B104" s="157"/>
      <c r="C104" s="156"/>
      <c r="D104" s="157"/>
      <c r="E104" s="156"/>
      <c r="F104" s="156"/>
      <c r="G104" s="156"/>
      <c r="H104" s="156"/>
    </row>
    <row r="105" spans="2:8" x14ac:dyDescent="0.35">
      <c r="B105" s="157"/>
      <c r="C105" s="156"/>
      <c r="D105" s="157"/>
      <c r="E105" s="156"/>
      <c r="F105" s="156"/>
      <c r="G105" s="156"/>
      <c r="H105" s="156"/>
    </row>
    <row r="106" spans="2:8" x14ac:dyDescent="0.35">
      <c r="B106" s="157"/>
      <c r="C106" s="156"/>
      <c r="D106" s="157"/>
      <c r="E106" s="156"/>
      <c r="F106" s="156"/>
      <c r="G106" s="156"/>
      <c r="H106" s="156"/>
    </row>
    <row r="107" spans="2:8" x14ac:dyDescent="0.35">
      <c r="B107" s="157"/>
      <c r="C107" s="156"/>
      <c r="D107" s="157"/>
      <c r="E107" s="156"/>
      <c r="F107" s="156"/>
      <c r="G107" s="156"/>
      <c r="H107" s="156"/>
    </row>
    <row r="108" spans="2:8" x14ac:dyDescent="0.35">
      <c r="B108" s="157"/>
      <c r="C108" s="156"/>
      <c r="D108" s="157"/>
      <c r="E108" s="156"/>
      <c r="F108" s="156"/>
      <c r="G108" s="156"/>
      <c r="H108" s="156"/>
    </row>
    <row r="109" spans="2:8" x14ac:dyDescent="0.35">
      <c r="B109" s="157"/>
      <c r="C109" s="156"/>
      <c r="D109" s="157"/>
      <c r="E109" s="156"/>
      <c r="F109" s="156"/>
      <c r="G109" s="156"/>
      <c r="H109" s="156"/>
    </row>
    <row r="110" spans="2:8" x14ac:dyDescent="0.35">
      <c r="B110" s="157"/>
      <c r="C110" s="156"/>
      <c r="D110" s="157"/>
      <c r="E110" s="156"/>
      <c r="F110" s="156"/>
      <c r="G110" s="156"/>
      <c r="H110" s="156"/>
    </row>
    <row r="111" spans="2:8" x14ac:dyDescent="0.35">
      <c r="B111" s="157"/>
      <c r="C111" s="156"/>
      <c r="D111" s="157"/>
      <c r="E111" s="156"/>
      <c r="F111" s="156"/>
      <c r="G111" s="156"/>
      <c r="H111" s="156"/>
    </row>
    <row r="112" spans="2:8" x14ac:dyDescent="0.35">
      <c r="B112" s="157"/>
      <c r="C112" s="156"/>
      <c r="D112" s="157"/>
      <c r="E112" s="156"/>
      <c r="F112" s="156"/>
      <c r="G112" s="156"/>
      <c r="H112" s="156"/>
    </row>
    <row r="113" spans="2:8" x14ac:dyDescent="0.35">
      <c r="B113" s="157"/>
      <c r="C113" s="156"/>
      <c r="D113" s="157"/>
      <c r="E113" s="156"/>
      <c r="F113" s="156"/>
      <c r="G113" s="156"/>
      <c r="H113" s="156"/>
    </row>
    <row r="114" spans="2:8" x14ac:dyDescent="0.35">
      <c r="B114" s="157"/>
      <c r="C114" s="156"/>
      <c r="D114" s="157"/>
      <c r="E114" s="156"/>
      <c r="F114" s="156"/>
      <c r="G114" s="156"/>
      <c r="H114" s="156"/>
    </row>
    <row r="115" spans="2:8" x14ac:dyDescent="0.35">
      <c r="B115" s="157"/>
      <c r="C115" s="156"/>
      <c r="D115" s="157"/>
      <c r="E115" s="156"/>
      <c r="F115" s="156"/>
      <c r="G115" s="156"/>
      <c r="H115" s="156"/>
    </row>
    <row r="116" spans="2:8" x14ac:dyDescent="0.35">
      <c r="B116" s="157"/>
      <c r="C116" s="156"/>
      <c r="D116" s="157"/>
      <c r="E116" s="156"/>
      <c r="F116" s="156"/>
      <c r="G116" s="156"/>
      <c r="H116" s="156"/>
    </row>
    <row r="117" spans="2:8" x14ac:dyDescent="0.35">
      <c r="B117" s="157"/>
      <c r="C117" s="156"/>
      <c r="D117" s="157"/>
      <c r="E117" s="156"/>
      <c r="F117" s="156"/>
      <c r="G117" s="156"/>
      <c r="H117" s="156"/>
    </row>
    <row r="118" spans="2:8" x14ac:dyDescent="0.35">
      <c r="B118" s="157"/>
      <c r="C118" s="156"/>
      <c r="D118" s="157"/>
      <c r="E118" s="156"/>
      <c r="F118" s="156"/>
      <c r="G118" s="156"/>
      <c r="H118" s="156"/>
    </row>
    <row r="119" spans="2:8" x14ac:dyDescent="0.35">
      <c r="B119" s="157"/>
      <c r="C119" s="156"/>
      <c r="D119" s="157"/>
      <c r="E119" s="156"/>
      <c r="F119" s="156"/>
      <c r="G119" s="156"/>
      <c r="H119" s="156"/>
    </row>
    <row r="120" spans="2:8" x14ac:dyDescent="0.35">
      <c r="B120" s="157"/>
      <c r="C120" s="156"/>
      <c r="D120" s="157"/>
      <c r="E120" s="156"/>
      <c r="F120" s="156"/>
      <c r="G120" s="156"/>
      <c r="H120" s="156"/>
    </row>
    <row r="121" spans="2:8" x14ac:dyDescent="0.35">
      <c r="B121" s="157"/>
      <c r="C121" s="156"/>
      <c r="D121" s="157"/>
      <c r="E121" s="156"/>
      <c r="F121" s="156"/>
      <c r="G121" s="156"/>
      <c r="H121" s="156"/>
    </row>
    <row r="122" spans="2:8" x14ac:dyDescent="0.35">
      <c r="B122" s="157"/>
      <c r="C122" s="156"/>
      <c r="D122" s="157"/>
      <c r="E122" s="156"/>
      <c r="F122" s="156"/>
      <c r="G122" s="156"/>
      <c r="H122" s="156"/>
    </row>
    <row r="123" spans="2:8" x14ac:dyDescent="0.35">
      <c r="B123" s="157"/>
      <c r="C123" s="156"/>
      <c r="D123" s="157"/>
      <c r="E123" s="156"/>
      <c r="F123" s="156"/>
      <c r="G123" s="156"/>
      <c r="H123" s="156"/>
    </row>
    <row r="124" spans="2:8" x14ac:dyDescent="0.35">
      <c r="B124" s="157"/>
      <c r="C124" s="156"/>
      <c r="D124" s="157"/>
      <c r="E124" s="156"/>
      <c r="F124" s="156"/>
      <c r="G124" s="156"/>
      <c r="H124" s="156"/>
    </row>
    <row r="125" spans="2:8" x14ac:dyDescent="0.35">
      <c r="B125" s="157"/>
      <c r="C125" s="156"/>
      <c r="D125" s="157"/>
      <c r="E125" s="156"/>
      <c r="F125" s="156"/>
      <c r="G125" s="156"/>
      <c r="H125" s="156"/>
    </row>
    <row r="126" spans="2:8" x14ac:dyDescent="0.35">
      <c r="B126" s="157"/>
      <c r="C126" s="156"/>
      <c r="D126" s="157"/>
      <c r="E126" s="156"/>
      <c r="F126" s="156"/>
      <c r="G126" s="156"/>
      <c r="H126" s="156"/>
    </row>
    <row r="127" spans="2:8" x14ac:dyDescent="0.35">
      <c r="B127" s="157"/>
      <c r="C127" s="156"/>
      <c r="D127" s="157"/>
      <c r="E127" s="156"/>
      <c r="F127" s="156"/>
      <c r="G127" s="156"/>
      <c r="H127" s="156"/>
    </row>
    <row r="128" spans="2:8" x14ac:dyDescent="0.35">
      <c r="B128" s="157"/>
      <c r="C128" s="156"/>
      <c r="D128" s="157"/>
      <c r="E128" s="156"/>
      <c r="F128" s="156"/>
      <c r="G128" s="156"/>
      <c r="H128" s="156"/>
    </row>
    <row r="129" spans="2:8" x14ac:dyDescent="0.35">
      <c r="B129" s="157"/>
      <c r="C129" s="156"/>
      <c r="D129" s="157"/>
      <c r="E129" s="156"/>
      <c r="F129" s="156"/>
      <c r="G129" s="156"/>
      <c r="H129" s="156"/>
    </row>
    <row r="130" spans="2:8" x14ac:dyDescent="0.35">
      <c r="B130" s="157"/>
      <c r="C130" s="156"/>
      <c r="D130" s="157"/>
      <c r="E130" s="156"/>
      <c r="F130" s="156"/>
      <c r="G130" s="156"/>
      <c r="H130" s="156"/>
    </row>
    <row r="131" spans="2:8" x14ac:dyDescent="0.35">
      <c r="B131" s="157"/>
      <c r="C131" s="156"/>
      <c r="D131" s="157"/>
      <c r="E131" s="156"/>
      <c r="F131" s="156"/>
      <c r="G131" s="156"/>
      <c r="H131" s="156"/>
    </row>
    <row r="132" spans="2:8" x14ac:dyDescent="0.35">
      <c r="B132" s="157"/>
      <c r="C132" s="156"/>
      <c r="D132" s="157"/>
      <c r="E132" s="156"/>
      <c r="F132" s="156"/>
      <c r="G132" s="156"/>
      <c r="H132" s="156"/>
    </row>
    <row r="133" spans="2:8" x14ac:dyDescent="0.35">
      <c r="B133" s="157"/>
      <c r="C133" s="156"/>
      <c r="D133" s="157"/>
      <c r="E133" s="156"/>
      <c r="F133" s="156"/>
      <c r="G133" s="156"/>
      <c r="H133" s="156"/>
    </row>
    <row r="134" spans="2:8" x14ac:dyDescent="0.35">
      <c r="B134" s="157"/>
      <c r="C134" s="156"/>
      <c r="D134" s="157"/>
      <c r="E134" s="156"/>
      <c r="F134" s="156"/>
      <c r="G134" s="156"/>
      <c r="H134" s="156"/>
    </row>
    <row r="135" spans="2:8" x14ac:dyDescent="0.35">
      <c r="B135" s="157"/>
      <c r="C135" s="156"/>
      <c r="D135" s="157"/>
      <c r="E135" s="156"/>
      <c r="F135" s="156"/>
      <c r="G135" s="156"/>
      <c r="H135" s="156"/>
    </row>
    <row r="136" spans="2:8" x14ac:dyDescent="0.35">
      <c r="B136" s="157"/>
      <c r="C136" s="156"/>
      <c r="D136" s="157"/>
      <c r="E136" s="156"/>
      <c r="F136" s="156"/>
      <c r="G136" s="156"/>
      <c r="H136" s="156"/>
    </row>
    <row r="137" spans="2:8" x14ac:dyDescent="0.35">
      <c r="B137" s="157"/>
      <c r="C137" s="156"/>
      <c r="D137" s="157"/>
      <c r="E137" s="156"/>
      <c r="F137" s="156"/>
      <c r="G137" s="156"/>
      <c r="H137" s="156"/>
    </row>
    <row r="138" spans="2:8" x14ac:dyDescent="0.35">
      <c r="B138" s="157"/>
      <c r="C138" s="156"/>
      <c r="D138" s="157"/>
      <c r="E138" s="156"/>
      <c r="F138" s="156"/>
      <c r="G138" s="156"/>
      <c r="H138" s="156"/>
    </row>
    <row r="139" spans="2:8" x14ac:dyDescent="0.35">
      <c r="B139" s="157"/>
      <c r="C139" s="156"/>
      <c r="D139" s="157"/>
      <c r="E139" s="156"/>
      <c r="F139" s="156"/>
      <c r="G139" s="156"/>
      <c r="H139" s="156"/>
    </row>
    <row r="140" spans="2:8" x14ac:dyDescent="0.35">
      <c r="B140" s="157"/>
      <c r="C140" s="156"/>
      <c r="D140" s="157"/>
      <c r="E140" s="156"/>
      <c r="F140" s="156"/>
      <c r="G140" s="156"/>
      <c r="H140" s="156"/>
    </row>
    <row r="141" spans="2:8" x14ac:dyDescent="0.35">
      <c r="B141" s="157"/>
      <c r="C141" s="156"/>
      <c r="D141" s="157"/>
      <c r="E141" s="156"/>
      <c r="F141" s="156"/>
      <c r="G141" s="156"/>
      <c r="H141" s="156"/>
    </row>
    <row r="142" spans="2:8" x14ac:dyDescent="0.35">
      <c r="B142" s="157"/>
      <c r="C142" s="156"/>
      <c r="D142" s="157"/>
      <c r="E142" s="156"/>
      <c r="F142" s="156"/>
      <c r="G142" s="156"/>
      <c r="H142" s="156"/>
    </row>
    <row r="143" spans="2:8" x14ac:dyDescent="0.35">
      <c r="B143" s="157"/>
      <c r="C143" s="156"/>
      <c r="D143" s="157"/>
      <c r="E143" s="156"/>
      <c r="F143" s="156"/>
      <c r="G143" s="156"/>
      <c r="H143" s="156"/>
    </row>
    <row r="144" spans="2:8" x14ac:dyDescent="0.35">
      <c r="B144" s="157"/>
      <c r="C144" s="156"/>
      <c r="D144" s="157"/>
      <c r="E144" s="156"/>
      <c r="F144" s="156"/>
      <c r="G144" s="156"/>
      <c r="H144" s="156"/>
    </row>
    <row r="145" spans="2:8" x14ac:dyDescent="0.35">
      <c r="B145" s="157"/>
      <c r="C145" s="156"/>
      <c r="D145" s="157"/>
      <c r="E145" s="156"/>
      <c r="F145" s="156"/>
      <c r="G145" s="156"/>
      <c r="H145" s="156"/>
    </row>
    <row r="146" spans="2:8" x14ac:dyDescent="0.35">
      <c r="B146" s="157"/>
      <c r="C146" s="156"/>
      <c r="D146" s="157"/>
      <c r="E146" s="156"/>
      <c r="F146" s="156"/>
      <c r="G146" s="156"/>
      <c r="H146" s="156"/>
    </row>
    <row r="147" spans="2:8" x14ac:dyDescent="0.35">
      <c r="B147" s="157"/>
      <c r="C147" s="156"/>
      <c r="D147" s="157"/>
      <c r="E147" s="156"/>
      <c r="F147" s="156"/>
      <c r="G147" s="156"/>
      <c r="H147" s="156"/>
    </row>
    <row r="148" spans="2:8" x14ac:dyDescent="0.35">
      <c r="B148" s="157"/>
      <c r="C148" s="156"/>
      <c r="D148" s="157"/>
      <c r="E148" s="156"/>
      <c r="F148" s="156"/>
      <c r="G148" s="156"/>
      <c r="H148" s="156"/>
    </row>
    <row r="149" spans="2:8" x14ac:dyDescent="0.35">
      <c r="B149" s="157"/>
      <c r="C149" s="156"/>
      <c r="D149" s="157"/>
      <c r="E149" s="156"/>
      <c r="F149" s="156"/>
      <c r="G149" s="156"/>
      <c r="H149" s="156"/>
    </row>
    <row r="150" spans="2:8" x14ac:dyDescent="0.35">
      <c r="B150" s="157"/>
      <c r="C150" s="156"/>
      <c r="D150" s="157"/>
      <c r="E150" s="156"/>
      <c r="F150" s="156"/>
      <c r="G150" s="156"/>
      <c r="H150" s="156"/>
    </row>
    <row r="151" spans="2:8" x14ac:dyDescent="0.35">
      <c r="B151" s="157"/>
      <c r="C151" s="156"/>
      <c r="D151" s="157"/>
      <c r="E151" s="156"/>
      <c r="F151" s="156"/>
      <c r="G151" s="156"/>
      <c r="H151" s="156"/>
    </row>
    <row r="152" spans="2:8" x14ac:dyDescent="0.35">
      <c r="B152" s="157"/>
      <c r="C152" s="156"/>
      <c r="D152" s="157"/>
      <c r="E152" s="156"/>
      <c r="F152" s="156"/>
      <c r="G152" s="156"/>
      <c r="H152" s="156"/>
    </row>
    <row r="153" spans="2:8" x14ac:dyDescent="0.35">
      <c r="B153" s="157"/>
      <c r="C153" s="156"/>
      <c r="D153" s="157"/>
      <c r="E153" s="156"/>
      <c r="F153" s="156"/>
      <c r="G153" s="156"/>
      <c r="H153" s="156"/>
    </row>
    <row r="154" spans="2:8" x14ac:dyDescent="0.35">
      <c r="B154" s="157"/>
      <c r="C154" s="156"/>
      <c r="D154" s="157"/>
      <c r="E154" s="156"/>
      <c r="F154" s="156"/>
      <c r="G154" s="156"/>
      <c r="H154" s="156"/>
    </row>
    <row r="155" spans="2:8" x14ac:dyDescent="0.35">
      <c r="B155" s="157"/>
      <c r="C155" s="156"/>
      <c r="D155" s="157"/>
      <c r="E155" s="156"/>
      <c r="F155" s="156"/>
      <c r="G155" s="156"/>
      <c r="H155" s="156"/>
    </row>
    <row r="156" spans="2:8" x14ac:dyDescent="0.35">
      <c r="B156" s="157"/>
      <c r="C156" s="156"/>
      <c r="D156" s="157"/>
      <c r="E156" s="156"/>
      <c r="F156" s="156"/>
      <c r="G156" s="156"/>
      <c r="H156" s="156"/>
    </row>
    <row r="157" spans="2:8" x14ac:dyDescent="0.35">
      <c r="B157" s="157"/>
      <c r="C157" s="156"/>
      <c r="D157" s="157"/>
      <c r="E157" s="156"/>
      <c r="F157" s="156"/>
      <c r="G157" s="156"/>
      <c r="H157" s="156"/>
    </row>
    <row r="158" spans="2:8" x14ac:dyDescent="0.35">
      <c r="B158" s="157"/>
      <c r="C158" s="156"/>
      <c r="D158" s="157"/>
      <c r="E158" s="156"/>
      <c r="F158" s="156"/>
      <c r="G158" s="156"/>
      <c r="H158" s="156"/>
    </row>
    <row r="159" spans="2:8" x14ac:dyDescent="0.35">
      <c r="B159" s="157"/>
      <c r="C159" s="156"/>
      <c r="D159" s="157"/>
      <c r="E159" s="156"/>
      <c r="F159" s="156"/>
      <c r="G159" s="156"/>
      <c r="H159" s="156"/>
    </row>
    <row r="160" spans="2:8" x14ac:dyDescent="0.35">
      <c r="B160" s="157"/>
      <c r="C160" s="156"/>
      <c r="D160" s="157"/>
      <c r="E160" s="156"/>
      <c r="F160" s="156"/>
      <c r="G160" s="156"/>
      <c r="H160" s="156"/>
    </row>
    <row r="161" spans="2:8" x14ac:dyDescent="0.35">
      <c r="B161" s="157"/>
      <c r="C161" s="156"/>
      <c r="D161" s="157"/>
      <c r="E161" s="156"/>
      <c r="F161" s="156"/>
      <c r="G161" s="156"/>
      <c r="H161" s="156"/>
    </row>
    <row r="162" spans="2:8" x14ac:dyDescent="0.35">
      <c r="B162" s="157"/>
      <c r="C162" s="156"/>
      <c r="D162" s="157"/>
      <c r="E162" s="156"/>
      <c r="F162" s="156"/>
      <c r="G162" s="156"/>
      <c r="H162" s="156"/>
    </row>
    <row r="163" spans="2:8" x14ac:dyDescent="0.35">
      <c r="B163" s="157"/>
      <c r="C163" s="156"/>
      <c r="D163" s="157"/>
      <c r="E163" s="156"/>
      <c r="F163" s="156"/>
      <c r="G163" s="156"/>
      <c r="H163" s="156"/>
    </row>
    <row r="164" spans="2:8" x14ac:dyDescent="0.35">
      <c r="B164" s="157"/>
      <c r="C164" s="156"/>
      <c r="D164" s="157"/>
      <c r="E164" s="156"/>
      <c r="F164" s="156"/>
      <c r="G164" s="156"/>
      <c r="H164" s="156"/>
    </row>
    <row r="165" spans="2:8" x14ac:dyDescent="0.35">
      <c r="B165" s="157"/>
      <c r="C165" s="156"/>
      <c r="D165" s="157"/>
      <c r="E165" s="156"/>
      <c r="F165" s="156"/>
      <c r="G165" s="156"/>
      <c r="H165" s="156"/>
    </row>
    <row r="166" spans="2:8" x14ac:dyDescent="0.35">
      <c r="B166" s="157"/>
      <c r="C166" s="156"/>
      <c r="D166" s="157"/>
      <c r="E166" s="156"/>
      <c r="F166" s="156"/>
      <c r="G166" s="156"/>
      <c r="H166" s="156"/>
    </row>
    <row r="167" spans="2:8" x14ac:dyDescent="0.35">
      <c r="B167" s="157"/>
      <c r="C167" s="156"/>
      <c r="D167" s="157"/>
      <c r="E167" s="156"/>
      <c r="F167" s="156"/>
      <c r="G167" s="156"/>
      <c r="H167" s="156"/>
    </row>
    <row r="168" spans="2:8" x14ac:dyDescent="0.35">
      <c r="B168" s="157"/>
      <c r="C168" s="156"/>
      <c r="D168" s="157"/>
      <c r="E168" s="156"/>
      <c r="F168" s="156"/>
      <c r="G168" s="156"/>
      <c r="H168" s="156"/>
    </row>
    <row r="169" spans="2:8" x14ac:dyDescent="0.35">
      <c r="B169" s="157"/>
      <c r="C169" s="156"/>
      <c r="D169" s="157"/>
      <c r="E169" s="156"/>
      <c r="F169" s="156"/>
      <c r="G169" s="156"/>
      <c r="H169" s="156"/>
    </row>
    <row r="170" spans="2:8" x14ac:dyDescent="0.35">
      <c r="B170" s="157"/>
      <c r="C170" s="156"/>
      <c r="D170" s="157"/>
      <c r="E170" s="156"/>
      <c r="F170" s="156"/>
      <c r="G170" s="156"/>
      <c r="H170" s="156"/>
    </row>
    <row r="171" spans="2:8" x14ac:dyDescent="0.35">
      <c r="B171" s="157"/>
      <c r="C171" s="156"/>
      <c r="D171" s="157"/>
      <c r="E171" s="156"/>
      <c r="F171" s="156"/>
      <c r="G171" s="156"/>
      <c r="H171" s="156"/>
    </row>
    <row r="172" spans="2:8" x14ac:dyDescent="0.35">
      <c r="B172" s="157"/>
      <c r="C172" s="156"/>
      <c r="D172" s="157"/>
      <c r="E172" s="156"/>
      <c r="F172" s="156"/>
      <c r="G172" s="156"/>
      <c r="H172" s="156"/>
    </row>
    <row r="173" spans="2:8" x14ac:dyDescent="0.35">
      <c r="B173" s="157"/>
      <c r="C173" s="156"/>
      <c r="D173" s="157"/>
      <c r="E173" s="156"/>
      <c r="F173" s="156"/>
      <c r="G173" s="156"/>
      <c r="H173" s="156"/>
    </row>
    <row r="174" spans="2:8" x14ac:dyDescent="0.35">
      <c r="B174" s="157"/>
      <c r="C174" s="156"/>
      <c r="D174" s="157"/>
      <c r="E174" s="156"/>
      <c r="F174" s="156"/>
      <c r="G174" s="156"/>
      <c r="H174" s="156"/>
    </row>
    <row r="175" spans="2:8" x14ac:dyDescent="0.35">
      <c r="B175" s="157"/>
      <c r="C175" s="156"/>
      <c r="D175" s="157"/>
      <c r="E175" s="156"/>
      <c r="F175" s="156"/>
      <c r="G175" s="156"/>
      <c r="H175" s="156"/>
    </row>
    <row r="176" spans="2:8" x14ac:dyDescent="0.35">
      <c r="B176" s="157"/>
      <c r="C176" s="156"/>
      <c r="D176" s="157"/>
      <c r="E176" s="156"/>
      <c r="F176" s="156"/>
      <c r="G176" s="156"/>
      <c r="H176" s="156"/>
    </row>
    <row r="177" spans="2:8" x14ac:dyDescent="0.35">
      <c r="B177" s="157"/>
      <c r="C177" s="156"/>
      <c r="D177" s="157"/>
      <c r="E177" s="156"/>
      <c r="F177" s="156"/>
      <c r="G177" s="156"/>
      <c r="H177" s="156"/>
    </row>
    <row r="178" spans="2:8" x14ac:dyDescent="0.35">
      <c r="B178" s="157"/>
      <c r="C178" s="156"/>
      <c r="D178" s="157"/>
      <c r="E178" s="156"/>
      <c r="F178" s="156"/>
      <c r="G178" s="156"/>
      <c r="H178" s="156"/>
    </row>
    <row r="179" spans="2:8" x14ac:dyDescent="0.35">
      <c r="B179" s="157"/>
      <c r="C179" s="156"/>
      <c r="D179" s="157"/>
      <c r="E179" s="156"/>
      <c r="F179" s="156"/>
      <c r="G179" s="156"/>
      <c r="H179" s="156"/>
    </row>
    <row r="180" spans="2:8" x14ac:dyDescent="0.35">
      <c r="B180" s="157"/>
      <c r="C180" s="156"/>
      <c r="D180" s="157"/>
      <c r="E180" s="156"/>
      <c r="F180" s="156"/>
      <c r="G180" s="156"/>
      <c r="H180" s="156"/>
    </row>
    <row r="181" spans="2:8" x14ac:dyDescent="0.35">
      <c r="B181" s="157"/>
      <c r="C181" s="156"/>
      <c r="D181" s="157"/>
      <c r="E181" s="156"/>
      <c r="F181" s="156"/>
      <c r="G181" s="156"/>
      <c r="H181" s="156"/>
    </row>
    <row r="182" spans="2:8" x14ac:dyDescent="0.35">
      <c r="B182" s="157"/>
      <c r="C182" s="156"/>
      <c r="D182" s="157"/>
      <c r="E182" s="156"/>
      <c r="F182" s="156"/>
      <c r="G182" s="156"/>
      <c r="H182" s="156"/>
    </row>
    <row r="183" spans="2:8" x14ac:dyDescent="0.35">
      <c r="B183" s="157"/>
      <c r="C183" s="156"/>
      <c r="D183" s="157"/>
      <c r="E183" s="156"/>
      <c r="F183" s="156"/>
      <c r="G183" s="156"/>
      <c r="H183" s="156"/>
    </row>
    <row r="184" spans="2:8" x14ac:dyDescent="0.35">
      <c r="B184" s="157"/>
      <c r="C184" s="156"/>
      <c r="D184" s="157"/>
      <c r="E184" s="156"/>
      <c r="F184" s="156"/>
      <c r="G184" s="156"/>
      <c r="H184" s="156"/>
    </row>
    <row r="185" spans="2:8" x14ac:dyDescent="0.35">
      <c r="B185" s="157"/>
      <c r="C185" s="156"/>
      <c r="D185" s="157"/>
      <c r="E185" s="156"/>
      <c r="F185" s="156"/>
      <c r="G185" s="156"/>
      <c r="H185" s="156"/>
    </row>
    <row r="186" spans="2:8" x14ac:dyDescent="0.35">
      <c r="B186" s="157"/>
      <c r="C186" s="156"/>
      <c r="D186" s="157"/>
      <c r="E186" s="156"/>
      <c r="F186" s="156"/>
      <c r="G186" s="156"/>
      <c r="H186" s="156"/>
    </row>
    <row r="187" spans="2:8" x14ac:dyDescent="0.35">
      <c r="B187" s="157"/>
      <c r="C187" s="156"/>
      <c r="D187" s="157"/>
      <c r="E187" s="156"/>
      <c r="F187" s="156"/>
      <c r="G187" s="156"/>
      <c r="H187" s="156"/>
    </row>
    <row r="188" spans="2:8" x14ac:dyDescent="0.35">
      <c r="B188" s="157"/>
      <c r="C188" s="156"/>
      <c r="D188" s="157"/>
      <c r="E188" s="156"/>
      <c r="F188" s="156"/>
      <c r="G188" s="156"/>
      <c r="H188" s="156"/>
    </row>
    <row r="189" spans="2:8" x14ac:dyDescent="0.35">
      <c r="B189" s="157"/>
      <c r="C189" s="156"/>
      <c r="D189" s="157"/>
      <c r="E189" s="156"/>
      <c r="F189" s="156"/>
      <c r="G189" s="156"/>
      <c r="H189" s="156"/>
    </row>
    <row r="190" spans="2:8" x14ac:dyDescent="0.35">
      <c r="B190" s="157"/>
      <c r="C190" s="156"/>
      <c r="D190" s="157"/>
      <c r="E190" s="156"/>
      <c r="F190" s="156"/>
      <c r="G190" s="156"/>
      <c r="H190" s="156"/>
    </row>
    <row r="191" spans="2:8" x14ac:dyDescent="0.35">
      <c r="B191" s="157"/>
      <c r="C191" s="156"/>
      <c r="D191" s="157"/>
      <c r="E191" s="156"/>
      <c r="F191" s="156"/>
      <c r="G191" s="156"/>
      <c r="H191" s="156"/>
    </row>
    <row r="192" spans="2:8" x14ac:dyDescent="0.35">
      <c r="B192" s="157"/>
      <c r="C192" s="156"/>
      <c r="D192" s="157"/>
      <c r="E192" s="156"/>
      <c r="F192" s="156"/>
      <c r="G192" s="156"/>
      <c r="H192" s="156"/>
    </row>
    <row r="193" spans="2:8" x14ac:dyDescent="0.35">
      <c r="B193" s="157"/>
      <c r="C193" s="156"/>
      <c r="D193" s="157"/>
      <c r="E193" s="156"/>
      <c r="F193" s="156"/>
      <c r="G193" s="156"/>
      <c r="H193" s="156"/>
    </row>
    <row r="194" spans="2:8" x14ac:dyDescent="0.35">
      <c r="B194" s="157"/>
      <c r="C194" s="156"/>
      <c r="D194" s="157"/>
      <c r="E194" s="156"/>
      <c r="F194" s="156"/>
      <c r="G194" s="156"/>
      <c r="H194" s="156"/>
    </row>
    <row r="195" spans="2:8" x14ac:dyDescent="0.35">
      <c r="B195" s="157"/>
      <c r="C195" s="156"/>
      <c r="D195" s="157"/>
      <c r="E195" s="156"/>
      <c r="F195" s="156"/>
      <c r="G195" s="156"/>
      <c r="H195" s="156"/>
    </row>
    <row r="196" spans="2:8" x14ac:dyDescent="0.35">
      <c r="B196" s="157"/>
      <c r="C196" s="156"/>
      <c r="D196" s="157"/>
      <c r="E196" s="156"/>
      <c r="F196" s="156"/>
      <c r="G196" s="156"/>
      <c r="H196" s="156"/>
    </row>
    <row r="197" spans="2:8" x14ac:dyDescent="0.35">
      <c r="B197" s="157"/>
      <c r="C197" s="156"/>
      <c r="D197" s="157"/>
      <c r="E197" s="156"/>
      <c r="F197" s="156"/>
      <c r="G197" s="156"/>
      <c r="H197" s="156"/>
    </row>
    <row r="198" spans="2:8" x14ac:dyDescent="0.35">
      <c r="B198" s="157"/>
      <c r="C198" s="156"/>
      <c r="D198" s="157"/>
      <c r="E198" s="156"/>
      <c r="F198" s="156"/>
      <c r="G198" s="156"/>
      <c r="H198" s="156"/>
    </row>
    <row r="199" spans="2:8" x14ac:dyDescent="0.35">
      <c r="B199" s="157"/>
      <c r="C199" s="156"/>
      <c r="D199" s="157"/>
      <c r="E199" s="156"/>
      <c r="F199" s="156"/>
      <c r="G199" s="156"/>
      <c r="H199" s="156"/>
    </row>
    <row r="200" spans="2:8" x14ac:dyDescent="0.35">
      <c r="B200" s="157"/>
      <c r="C200" s="156"/>
      <c r="D200" s="157"/>
      <c r="E200" s="156"/>
      <c r="F200" s="156"/>
      <c r="G200" s="156"/>
      <c r="H200" s="156"/>
    </row>
    <row r="201" spans="2:8" x14ac:dyDescent="0.35">
      <c r="B201" s="157"/>
      <c r="C201" s="156"/>
      <c r="D201" s="157"/>
      <c r="E201" s="156"/>
      <c r="F201" s="156"/>
      <c r="G201" s="156"/>
      <c r="H201" s="156"/>
    </row>
    <row r="202" spans="2:8" x14ac:dyDescent="0.35">
      <c r="B202" s="157"/>
      <c r="C202" s="156"/>
      <c r="D202" s="157"/>
      <c r="E202" s="156"/>
      <c r="F202" s="156"/>
      <c r="G202" s="156"/>
      <c r="H202" s="156"/>
    </row>
    <row r="203" spans="2:8" x14ac:dyDescent="0.35">
      <c r="B203" s="157"/>
      <c r="C203" s="156"/>
      <c r="D203" s="157"/>
      <c r="E203" s="156"/>
      <c r="F203" s="156"/>
      <c r="G203" s="156"/>
      <c r="H203" s="156"/>
    </row>
    <row r="204" spans="2:8" x14ac:dyDescent="0.35">
      <c r="B204" s="157"/>
      <c r="C204" s="156"/>
      <c r="D204" s="157"/>
      <c r="E204" s="156"/>
      <c r="F204" s="156"/>
      <c r="G204" s="156"/>
      <c r="H204" s="156"/>
    </row>
    <row r="205" spans="2:8" x14ac:dyDescent="0.35">
      <c r="B205" s="157"/>
      <c r="C205" s="156"/>
      <c r="D205" s="157"/>
      <c r="E205" s="156"/>
      <c r="F205" s="156"/>
      <c r="G205" s="156"/>
      <c r="H205" s="156"/>
    </row>
    <row r="206" spans="2:8" x14ac:dyDescent="0.35">
      <c r="B206" s="157"/>
      <c r="C206" s="156"/>
      <c r="D206" s="157"/>
      <c r="E206" s="156"/>
      <c r="F206" s="156"/>
      <c r="G206" s="156"/>
      <c r="H206" s="156"/>
    </row>
    <row r="207" spans="2:8" x14ac:dyDescent="0.35">
      <c r="B207" s="157"/>
      <c r="C207" s="156"/>
      <c r="D207" s="157"/>
      <c r="E207" s="156"/>
      <c r="F207" s="156"/>
      <c r="G207" s="156"/>
      <c r="H207" s="156"/>
    </row>
    <row r="208" spans="2:8" x14ac:dyDescent="0.35">
      <c r="B208" s="157"/>
      <c r="C208" s="156"/>
      <c r="D208" s="157"/>
      <c r="E208" s="156"/>
      <c r="F208" s="156"/>
      <c r="G208" s="156"/>
      <c r="H208" s="156"/>
    </row>
    <row r="209" spans="2:8" x14ac:dyDescent="0.35">
      <c r="B209" s="157"/>
      <c r="C209" s="156"/>
      <c r="D209" s="157"/>
      <c r="E209" s="156"/>
      <c r="F209" s="156"/>
      <c r="G209" s="156"/>
      <c r="H209" s="156"/>
    </row>
    <row r="210" spans="2:8" x14ac:dyDescent="0.35">
      <c r="B210" s="157"/>
      <c r="C210" s="156"/>
      <c r="D210" s="157"/>
      <c r="E210" s="156"/>
      <c r="F210" s="156"/>
      <c r="G210" s="156"/>
      <c r="H210" s="156"/>
    </row>
    <row r="211" spans="2:8" x14ac:dyDescent="0.35">
      <c r="B211" s="157"/>
      <c r="C211" s="156"/>
      <c r="D211" s="157"/>
      <c r="E211" s="156"/>
      <c r="F211" s="156"/>
      <c r="G211" s="156"/>
      <c r="H211" s="156"/>
    </row>
    <row r="212" spans="2:8" x14ac:dyDescent="0.35">
      <c r="B212" s="157"/>
      <c r="C212" s="156"/>
      <c r="D212" s="157"/>
      <c r="E212" s="156"/>
      <c r="F212" s="156"/>
      <c r="G212" s="156"/>
      <c r="H212" s="156"/>
    </row>
    <row r="213" spans="2:8" x14ac:dyDescent="0.35">
      <c r="B213" s="157"/>
      <c r="C213" s="156"/>
      <c r="D213" s="157"/>
      <c r="E213" s="156"/>
      <c r="F213" s="156"/>
      <c r="G213" s="156"/>
      <c r="H213" s="156"/>
    </row>
    <row r="214" spans="2:8" x14ac:dyDescent="0.35">
      <c r="B214" s="157"/>
      <c r="C214" s="156"/>
      <c r="D214" s="157"/>
      <c r="E214" s="156"/>
      <c r="F214" s="156"/>
      <c r="G214" s="156"/>
      <c r="H214" s="156"/>
    </row>
    <row r="215" spans="2:8" x14ac:dyDescent="0.35">
      <c r="B215" s="157"/>
      <c r="C215" s="156"/>
      <c r="D215" s="157"/>
      <c r="E215" s="156"/>
      <c r="F215" s="156"/>
      <c r="G215" s="156"/>
      <c r="H215" s="156"/>
    </row>
    <row r="216" spans="2:8" x14ac:dyDescent="0.35">
      <c r="B216" s="157"/>
      <c r="C216" s="156"/>
      <c r="D216" s="157"/>
      <c r="E216" s="156"/>
      <c r="F216" s="156"/>
      <c r="G216" s="156"/>
      <c r="H216" s="156"/>
    </row>
    <row r="217" spans="2:8" x14ac:dyDescent="0.35">
      <c r="B217" s="157"/>
      <c r="C217" s="156"/>
      <c r="D217" s="157"/>
      <c r="E217" s="156"/>
      <c r="F217" s="156"/>
      <c r="G217" s="156"/>
      <c r="H217" s="156"/>
    </row>
    <row r="218" spans="2:8" x14ac:dyDescent="0.35">
      <c r="B218" s="157"/>
      <c r="C218" s="156"/>
      <c r="D218" s="157"/>
      <c r="E218" s="156"/>
      <c r="F218" s="156"/>
      <c r="G218" s="156"/>
      <c r="H218" s="156"/>
    </row>
    <row r="219" spans="2:8" x14ac:dyDescent="0.35">
      <c r="B219" s="157"/>
      <c r="C219" s="156"/>
      <c r="D219" s="157"/>
      <c r="E219" s="156"/>
      <c r="F219" s="156"/>
      <c r="G219" s="156"/>
      <c r="H219" s="156"/>
    </row>
    <row r="220" spans="2:8" x14ac:dyDescent="0.35">
      <c r="B220" s="157"/>
      <c r="C220" s="156"/>
      <c r="D220" s="157"/>
      <c r="E220" s="156"/>
      <c r="F220" s="156"/>
      <c r="G220" s="156"/>
      <c r="H220" s="156"/>
    </row>
    <row r="221" spans="2:8" x14ac:dyDescent="0.35">
      <c r="B221" s="157"/>
      <c r="C221" s="156"/>
      <c r="D221" s="157"/>
      <c r="E221" s="156"/>
      <c r="F221" s="156"/>
      <c r="G221" s="156"/>
      <c r="H221" s="156"/>
    </row>
    <row r="222" spans="2:8" x14ac:dyDescent="0.35">
      <c r="B222" s="157"/>
      <c r="C222" s="156"/>
      <c r="D222" s="157"/>
      <c r="E222" s="156"/>
      <c r="F222" s="156"/>
      <c r="G222" s="156"/>
      <c r="H222" s="156"/>
    </row>
    <row r="223" spans="2:8" x14ac:dyDescent="0.35">
      <c r="B223" s="157"/>
      <c r="C223" s="156"/>
      <c r="D223" s="157"/>
      <c r="E223" s="156"/>
      <c r="F223" s="156"/>
      <c r="G223" s="156"/>
      <c r="H223" s="156"/>
    </row>
    <row r="224" spans="2:8" x14ac:dyDescent="0.35">
      <c r="B224" s="157"/>
      <c r="C224" s="156"/>
      <c r="D224" s="157"/>
      <c r="E224" s="156"/>
      <c r="F224" s="156"/>
      <c r="G224" s="156"/>
      <c r="H224" s="156"/>
    </row>
    <row r="225" spans="2:8" x14ac:dyDescent="0.35">
      <c r="B225" s="157"/>
      <c r="C225" s="156"/>
      <c r="D225" s="157"/>
      <c r="E225" s="156"/>
      <c r="F225" s="156"/>
      <c r="G225" s="156"/>
      <c r="H225" s="156"/>
    </row>
    <row r="226" spans="2:8" x14ac:dyDescent="0.35">
      <c r="B226" s="157"/>
      <c r="C226" s="156"/>
      <c r="D226" s="157"/>
      <c r="E226" s="156"/>
      <c r="F226" s="156"/>
      <c r="G226" s="156"/>
      <c r="H226" s="156"/>
    </row>
    <row r="227" spans="2:8" x14ac:dyDescent="0.35">
      <c r="B227" s="157"/>
      <c r="C227" s="156"/>
      <c r="D227" s="157"/>
      <c r="E227" s="156"/>
      <c r="F227" s="156"/>
      <c r="G227" s="156"/>
      <c r="H227" s="156"/>
    </row>
    <row r="228" spans="2:8" x14ac:dyDescent="0.35">
      <c r="B228" s="157"/>
      <c r="C228" s="156"/>
      <c r="D228" s="157"/>
      <c r="E228" s="156"/>
      <c r="F228" s="156"/>
      <c r="G228" s="156"/>
      <c r="H228" s="156"/>
    </row>
    <row r="229" spans="2:8" x14ac:dyDescent="0.35">
      <c r="B229" s="157"/>
      <c r="C229" s="156"/>
      <c r="D229" s="157"/>
      <c r="E229" s="156"/>
      <c r="F229" s="156"/>
      <c r="G229" s="156"/>
      <c r="H229" s="156"/>
    </row>
    <row r="230" spans="2:8" x14ac:dyDescent="0.35">
      <c r="B230" s="157"/>
      <c r="C230" s="156"/>
      <c r="D230" s="157"/>
      <c r="E230" s="156"/>
      <c r="F230" s="156"/>
      <c r="G230" s="156"/>
      <c r="H230" s="156"/>
    </row>
    <row r="231" spans="2:8" x14ac:dyDescent="0.35">
      <c r="B231" s="157"/>
      <c r="C231" s="156"/>
      <c r="D231" s="157"/>
      <c r="E231" s="156"/>
      <c r="F231" s="156"/>
      <c r="G231" s="156"/>
      <c r="H231" s="156"/>
    </row>
    <row r="232" spans="2:8" x14ac:dyDescent="0.35">
      <c r="B232" s="157"/>
      <c r="C232" s="156"/>
      <c r="D232" s="157"/>
      <c r="E232" s="156"/>
      <c r="F232" s="156"/>
      <c r="G232" s="156"/>
      <c r="H232" s="156"/>
    </row>
    <row r="233" spans="2:8" x14ac:dyDescent="0.35">
      <c r="B233" s="157"/>
      <c r="C233" s="156"/>
      <c r="D233" s="157"/>
      <c r="E233" s="156"/>
      <c r="F233" s="156"/>
      <c r="G233" s="156"/>
      <c r="H233" s="156"/>
    </row>
    <row r="234" spans="2:8" x14ac:dyDescent="0.35">
      <c r="B234" s="157"/>
      <c r="C234" s="156"/>
      <c r="D234" s="157"/>
      <c r="E234" s="156"/>
      <c r="F234" s="156"/>
      <c r="G234" s="156"/>
      <c r="H234" s="156"/>
    </row>
    <row r="235" spans="2:8" x14ac:dyDescent="0.35">
      <c r="B235" s="157"/>
      <c r="C235" s="156"/>
      <c r="D235" s="157"/>
      <c r="E235" s="156"/>
      <c r="F235" s="156"/>
      <c r="G235" s="156"/>
      <c r="H235" s="156"/>
    </row>
    <row r="236" spans="2:8" x14ac:dyDescent="0.35">
      <c r="B236" s="157"/>
      <c r="C236" s="156"/>
      <c r="D236" s="157"/>
      <c r="E236" s="156"/>
      <c r="F236" s="156"/>
      <c r="G236" s="156"/>
      <c r="H236" s="156"/>
    </row>
    <row r="237" spans="2:8" x14ac:dyDescent="0.35">
      <c r="B237" s="157"/>
      <c r="C237" s="156"/>
      <c r="D237" s="157"/>
      <c r="E237" s="156"/>
      <c r="F237" s="156"/>
      <c r="G237" s="156"/>
      <c r="H237" s="156"/>
    </row>
    <row r="238" spans="2:8" x14ac:dyDescent="0.35">
      <c r="B238" s="157"/>
      <c r="C238" s="156"/>
      <c r="D238" s="157"/>
      <c r="E238" s="156"/>
      <c r="F238" s="156"/>
      <c r="G238" s="156"/>
      <c r="H238" s="156"/>
    </row>
    <row r="239" spans="2:8" x14ac:dyDescent="0.35">
      <c r="B239" s="157"/>
      <c r="C239" s="156"/>
      <c r="D239" s="157"/>
      <c r="E239" s="156"/>
      <c r="F239" s="156"/>
      <c r="G239" s="156"/>
      <c r="H239" s="156"/>
    </row>
    <row r="240" spans="2:8" x14ac:dyDescent="0.35">
      <c r="B240" s="157"/>
      <c r="C240" s="156"/>
      <c r="D240" s="157"/>
      <c r="E240" s="156"/>
      <c r="F240" s="156"/>
      <c r="G240" s="156"/>
      <c r="H240" s="156"/>
    </row>
    <row r="241" spans="2:8" x14ac:dyDescent="0.35">
      <c r="B241" s="157"/>
      <c r="C241" s="156"/>
      <c r="D241" s="157"/>
      <c r="E241" s="156"/>
      <c r="F241" s="156"/>
      <c r="G241" s="156"/>
      <c r="H241" s="156"/>
    </row>
    <row r="242" spans="2:8" x14ac:dyDescent="0.35">
      <c r="B242" s="157"/>
      <c r="C242" s="156"/>
      <c r="D242" s="157"/>
      <c r="E242" s="156"/>
      <c r="F242" s="156"/>
      <c r="G242" s="156"/>
      <c r="H242" s="156"/>
    </row>
  </sheetData>
  <mergeCells count="9">
    <mergeCell ref="B12:C12"/>
    <mergeCell ref="B13:H13"/>
    <mergeCell ref="B2:H2"/>
    <mergeCell ref="B3:H3"/>
    <mergeCell ref="B42:C42"/>
    <mergeCell ref="B22:C22"/>
    <mergeCell ref="B32:C32"/>
    <mergeCell ref="B33:H33"/>
    <mergeCell ref="B23:H23"/>
  </mergeCells>
  <phoneticPr fontId="48" type="noConversion"/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4B083"/>
  </sheetPr>
  <dimension ref="B2:X240"/>
  <sheetViews>
    <sheetView zoomScale="92" zoomScaleNormal="85" workbookViewId="0">
      <selection activeCell="G42" sqref="G42"/>
    </sheetView>
  </sheetViews>
  <sheetFormatPr defaultColWidth="10.08203125" defaultRowHeight="18" x14ac:dyDescent="0.35"/>
  <cols>
    <col min="1" max="1" width="10.08203125" style="13"/>
    <col min="2" max="2" width="3.58203125" style="13" customWidth="1"/>
    <col min="3" max="3" width="15.5" style="13" customWidth="1"/>
    <col min="4" max="5" width="11.4140625" style="13" customWidth="1"/>
    <col min="6" max="6" width="13.08203125" style="13" customWidth="1"/>
    <col min="7" max="7" width="9.1640625" style="13" customWidth="1"/>
    <col min="8" max="8" width="14.4140625" style="13" customWidth="1"/>
    <col min="9" max="9" width="16.58203125" style="13" customWidth="1"/>
    <col min="10" max="13" width="7.08203125" style="13" customWidth="1"/>
    <col min="14" max="14" width="16.58203125" style="13" customWidth="1"/>
    <col min="15" max="22" width="10.08203125" style="13"/>
    <col min="23" max="23" width="17.08203125" style="13" customWidth="1"/>
    <col min="24" max="24" width="19.5" style="13" customWidth="1"/>
    <col min="25" max="16384" width="10.08203125" style="13"/>
  </cols>
  <sheetData>
    <row r="2" spans="2:14" x14ac:dyDescent="0.35">
      <c r="B2" s="255" t="s">
        <v>79</v>
      </c>
      <c r="C2" s="242"/>
      <c r="D2" s="242"/>
      <c r="E2" s="242"/>
      <c r="F2" s="242"/>
      <c r="G2" s="242"/>
      <c r="H2" s="242"/>
      <c r="I2" s="242"/>
      <c r="J2" s="47"/>
      <c r="K2" s="47"/>
      <c r="L2" s="47"/>
      <c r="M2" s="47"/>
    </row>
    <row r="3" spans="2:14" x14ac:dyDescent="0.35">
      <c r="B3" s="242"/>
      <c r="C3" s="228"/>
      <c r="D3" s="228"/>
      <c r="E3" s="228"/>
      <c r="F3" s="228"/>
      <c r="G3" s="228"/>
      <c r="H3" s="228"/>
      <c r="I3" s="228"/>
      <c r="J3" s="47"/>
      <c r="K3" s="47"/>
      <c r="L3" s="47"/>
      <c r="M3" s="47"/>
    </row>
    <row r="4" spans="2:14" x14ac:dyDescent="0.35">
      <c r="B4" s="254" t="s">
        <v>165</v>
      </c>
      <c r="C4" s="242"/>
      <c r="D4" s="242"/>
      <c r="E4" s="242"/>
      <c r="F4" s="242"/>
      <c r="G4" s="242"/>
      <c r="H4" s="242"/>
      <c r="I4" s="242"/>
      <c r="J4" s="47"/>
      <c r="K4" s="47"/>
      <c r="L4" s="47"/>
      <c r="M4" s="47"/>
    </row>
    <row r="5" spans="2:14" ht="39.75" customHeight="1" x14ac:dyDescent="0.35">
      <c r="B5" s="50" t="s">
        <v>1</v>
      </c>
      <c r="C5" s="50" t="s">
        <v>2</v>
      </c>
      <c r="D5" s="50" t="s">
        <v>61</v>
      </c>
      <c r="E5" s="50" t="s">
        <v>93</v>
      </c>
      <c r="F5" s="182" t="s">
        <v>164</v>
      </c>
      <c r="G5" s="50" t="s">
        <v>128</v>
      </c>
      <c r="H5" s="50" t="s">
        <v>62</v>
      </c>
      <c r="I5" s="50" t="s">
        <v>167</v>
      </c>
      <c r="J5" s="47"/>
      <c r="K5" s="47"/>
      <c r="L5" s="47"/>
      <c r="M5" s="202" t="s">
        <v>183</v>
      </c>
      <c r="N5" s="202" t="s">
        <v>62</v>
      </c>
    </row>
    <row r="6" spans="2:14" x14ac:dyDescent="0.35">
      <c r="B6" s="52">
        <v>1</v>
      </c>
      <c r="C6" s="53" t="str">
        <f>'Price setting'!C4</f>
        <v>Áo phông</v>
      </c>
      <c r="D6" s="54">
        <f>'Price setting'!D4</f>
        <v>250000</v>
      </c>
      <c r="E6" s="54">
        <f>'Price setting'!E4</f>
        <v>118000</v>
      </c>
      <c r="F6" s="55">
        <v>483</v>
      </c>
      <c r="G6" s="56">
        <f>F6*12</f>
        <v>5796</v>
      </c>
      <c r="H6" s="57">
        <f>G6*D6</f>
        <v>1449000000</v>
      </c>
      <c r="I6" s="57">
        <f>G6*E6</f>
        <v>683928000</v>
      </c>
      <c r="J6" s="47"/>
      <c r="K6" s="47"/>
      <c r="L6" s="47" t="s">
        <v>23</v>
      </c>
      <c r="M6" s="201">
        <f>G12</f>
        <v>25524</v>
      </c>
      <c r="N6" s="201">
        <f>H12</f>
        <v>2551440000</v>
      </c>
    </row>
    <row r="7" spans="2:14" x14ac:dyDescent="0.35">
      <c r="B7" s="52">
        <v>2</v>
      </c>
      <c r="C7" s="53" t="str">
        <f>'Price setting'!C5</f>
        <v>Áo hoodie</v>
      </c>
      <c r="D7" s="54">
        <f>'Price setting'!D5</f>
        <v>280000</v>
      </c>
      <c r="E7" s="54">
        <f>'Price setting'!E5</f>
        <v>138000</v>
      </c>
      <c r="F7" s="55">
        <v>116</v>
      </c>
      <c r="G7" s="56">
        <f t="shared" ref="G7:G11" si="0">F7*12</f>
        <v>1392</v>
      </c>
      <c r="H7" s="57">
        <f t="shared" ref="H7:H11" si="1">G7*D7</f>
        <v>389760000</v>
      </c>
      <c r="I7" s="57">
        <f t="shared" ref="I7:I11" si="2">G7*E7</f>
        <v>192096000</v>
      </c>
      <c r="J7" s="47"/>
      <c r="K7" s="47"/>
      <c r="L7" s="47" t="s">
        <v>29</v>
      </c>
      <c r="M7" s="201">
        <f>G22</f>
        <v>31752</v>
      </c>
      <c r="N7" s="201">
        <f>H22</f>
        <v>3175020000</v>
      </c>
    </row>
    <row r="8" spans="2:14" x14ac:dyDescent="0.35">
      <c r="B8" s="52">
        <v>3</v>
      </c>
      <c r="C8" s="53" t="str">
        <f>'Price setting'!C6</f>
        <v>Móc khoá</v>
      </c>
      <c r="D8" s="54">
        <f>'Price setting'!D6</f>
        <v>15000</v>
      </c>
      <c r="E8" s="54">
        <f>'Price setting'!E6</f>
        <v>9500</v>
      </c>
      <c r="F8" s="55">
        <v>809</v>
      </c>
      <c r="G8" s="56">
        <f t="shared" si="0"/>
        <v>9708</v>
      </c>
      <c r="H8" s="57">
        <f t="shared" si="1"/>
        <v>145620000</v>
      </c>
      <c r="I8" s="57">
        <f t="shared" si="2"/>
        <v>92226000</v>
      </c>
      <c r="J8" s="47"/>
      <c r="K8" s="47"/>
      <c r="L8" s="47" t="s">
        <v>30</v>
      </c>
      <c r="M8" s="201">
        <f>G32</f>
        <v>36480</v>
      </c>
      <c r="N8" s="201">
        <f>H32</f>
        <v>3647400000</v>
      </c>
    </row>
    <row r="9" spans="2:14" x14ac:dyDescent="0.35">
      <c r="B9" s="52">
        <v>4</v>
      </c>
      <c r="C9" s="53" t="str">
        <f>'Price setting'!C7</f>
        <v>Mũ</v>
      </c>
      <c r="D9" s="54">
        <f>'Price setting'!D7</f>
        <v>45000</v>
      </c>
      <c r="E9" s="54">
        <f>'Price setting'!E7</f>
        <v>15500</v>
      </c>
      <c r="F9" s="55">
        <v>403</v>
      </c>
      <c r="G9" s="56">
        <f t="shared" si="0"/>
        <v>4836</v>
      </c>
      <c r="H9" s="57">
        <f t="shared" si="1"/>
        <v>217620000</v>
      </c>
      <c r="I9" s="57">
        <f t="shared" si="2"/>
        <v>74958000</v>
      </c>
      <c r="J9" s="47"/>
      <c r="K9" s="47"/>
      <c r="L9" s="47" t="s">
        <v>31</v>
      </c>
      <c r="M9" s="201">
        <f>G42</f>
        <v>43752</v>
      </c>
      <c r="N9" s="201">
        <f>H42</f>
        <v>4372920000</v>
      </c>
    </row>
    <row r="10" spans="2:14" x14ac:dyDescent="0.35">
      <c r="B10" s="52">
        <v>5</v>
      </c>
      <c r="C10" s="53" t="str">
        <f>'Price setting'!C8</f>
        <v>Tất</v>
      </c>
      <c r="D10" s="54">
        <f>'Price setting'!D8</f>
        <v>20000</v>
      </c>
      <c r="E10" s="54">
        <f>'Price setting'!E8</f>
        <v>9500</v>
      </c>
      <c r="F10" s="55">
        <v>240</v>
      </c>
      <c r="G10" s="56">
        <f t="shared" si="0"/>
        <v>2880</v>
      </c>
      <c r="H10" s="57">
        <f t="shared" si="1"/>
        <v>57600000</v>
      </c>
      <c r="I10" s="57">
        <f t="shared" si="2"/>
        <v>27360000</v>
      </c>
      <c r="J10" s="47"/>
      <c r="K10" s="47"/>
      <c r="L10" s="47"/>
      <c r="M10" s="47"/>
    </row>
    <row r="11" spans="2:14" x14ac:dyDescent="0.35">
      <c r="B11" s="52">
        <v>6</v>
      </c>
      <c r="C11" s="53" t="str">
        <f>'Price setting'!C9</f>
        <v>Áo bomber</v>
      </c>
      <c r="D11" s="54">
        <f>'Price setting'!D9</f>
        <v>320000</v>
      </c>
      <c r="E11" s="54">
        <f>'Price setting'!E9</f>
        <v>158000</v>
      </c>
      <c r="F11" s="55">
        <v>76</v>
      </c>
      <c r="G11" s="56">
        <f t="shared" si="0"/>
        <v>912</v>
      </c>
      <c r="H11" s="57">
        <f t="shared" si="1"/>
        <v>291840000</v>
      </c>
      <c r="I11" s="57">
        <f t="shared" si="2"/>
        <v>144096000</v>
      </c>
      <c r="J11" s="47"/>
      <c r="K11" s="47"/>
      <c r="L11" s="47"/>
      <c r="M11" s="47"/>
    </row>
    <row r="12" spans="2:14" ht="18.75" customHeight="1" x14ac:dyDescent="0.35">
      <c r="B12" s="253" t="s">
        <v>0</v>
      </c>
      <c r="C12" s="242"/>
      <c r="D12" s="242"/>
      <c r="E12" s="242"/>
      <c r="F12" s="58">
        <f>SUM(F6:F11)</f>
        <v>2127</v>
      </c>
      <c r="G12" s="58">
        <f>SUM(G6:G11)</f>
        <v>25524</v>
      </c>
      <c r="H12" s="59">
        <f>SUM(H6:H11)</f>
        <v>2551440000</v>
      </c>
      <c r="I12" s="59">
        <f>SUM(I6:I11)</f>
        <v>1214664000</v>
      </c>
      <c r="J12" s="47"/>
      <c r="K12" s="47"/>
      <c r="L12" s="47"/>
    </row>
    <row r="13" spans="2:14" x14ac:dyDescent="0.35">
      <c r="B13" s="47"/>
      <c r="I13" s="47"/>
      <c r="J13" s="47"/>
      <c r="K13" s="47"/>
      <c r="L13" s="47"/>
    </row>
    <row r="14" spans="2:14" ht="18.75" customHeight="1" x14ac:dyDescent="0.35">
      <c r="B14" s="254" t="s">
        <v>166</v>
      </c>
      <c r="C14" s="242"/>
      <c r="D14" s="242"/>
      <c r="E14" s="242"/>
      <c r="F14" s="242"/>
      <c r="G14" s="242"/>
      <c r="H14" s="242"/>
      <c r="I14" s="242"/>
      <c r="J14" s="47"/>
      <c r="K14" s="47"/>
      <c r="L14" s="47"/>
    </row>
    <row r="15" spans="2:14" ht="39.75" customHeight="1" x14ac:dyDescent="0.35">
      <c r="B15" s="50" t="s">
        <v>1</v>
      </c>
      <c r="C15" s="50" t="s">
        <v>2</v>
      </c>
      <c r="D15" s="50" t="s">
        <v>61</v>
      </c>
      <c r="E15" s="50" t="s">
        <v>93</v>
      </c>
      <c r="F15" s="182" t="s">
        <v>164</v>
      </c>
      <c r="G15" s="50" t="s">
        <v>128</v>
      </c>
      <c r="H15" s="50" t="s">
        <v>62</v>
      </c>
      <c r="I15" s="50" t="s">
        <v>167</v>
      </c>
      <c r="J15" s="47"/>
      <c r="K15" s="47"/>
      <c r="L15" s="47"/>
    </row>
    <row r="16" spans="2:14" x14ac:dyDescent="0.35">
      <c r="B16" s="52">
        <v>1</v>
      </c>
      <c r="C16" s="53" t="str">
        <f>'Price setting'!C4</f>
        <v>Áo phông</v>
      </c>
      <c r="D16" s="54">
        <f t="shared" ref="D16:E17" si="3">D6</f>
        <v>250000</v>
      </c>
      <c r="E16" s="54">
        <f t="shared" si="3"/>
        <v>118000</v>
      </c>
      <c r="F16" s="55">
        <v>601</v>
      </c>
      <c r="G16" s="56">
        <f>F16*12</f>
        <v>7212</v>
      </c>
      <c r="H16" s="57">
        <f>G16*D16</f>
        <v>1803000000</v>
      </c>
      <c r="I16" s="57">
        <f>G16*E16</f>
        <v>851016000</v>
      </c>
      <c r="J16" s="47"/>
      <c r="K16" s="47"/>
      <c r="L16" s="47"/>
      <c r="M16" s="47"/>
    </row>
    <row r="17" spans="2:13" x14ac:dyDescent="0.35">
      <c r="B17" s="52">
        <v>2</v>
      </c>
      <c r="C17" s="53" t="str">
        <f>'Price setting'!C5</f>
        <v>Áo hoodie</v>
      </c>
      <c r="D17" s="54">
        <f t="shared" si="3"/>
        <v>280000</v>
      </c>
      <c r="E17" s="54">
        <f t="shared" si="3"/>
        <v>138000</v>
      </c>
      <c r="F17" s="55">
        <v>144</v>
      </c>
      <c r="G17" s="56">
        <f t="shared" ref="G17:G21" si="4">F17*12</f>
        <v>1728</v>
      </c>
      <c r="H17" s="57">
        <f t="shared" ref="H17:H21" si="5">G17*D17</f>
        <v>483840000</v>
      </c>
      <c r="I17" s="57">
        <f t="shared" ref="I17:I21" si="6">G17*E17</f>
        <v>238464000</v>
      </c>
      <c r="J17" s="47"/>
      <c r="K17" s="47"/>
      <c r="L17" s="47"/>
      <c r="M17" s="47"/>
    </row>
    <row r="18" spans="2:13" x14ac:dyDescent="0.35">
      <c r="B18" s="52">
        <v>3</v>
      </c>
      <c r="C18" s="53" t="str">
        <f>'Price setting'!C6</f>
        <v>Móc khoá</v>
      </c>
      <c r="D18" s="54">
        <f t="shared" ref="D18:E18" si="7">D8</f>
        <v>15000</v>
      </c>
      <c r="E18" s="54">
        <f t="shared" si="7"/>
        <v>9500</v>
      </c>
      <c r="F18" s="55">
        <v>1006</v>
      </c>
      <c r="G18" s="56">
        <f t="shared" si="4"/>
        <v>12072</v>
      </c>
      <c r="H18" s="57">
        <f t="shared" si="5"/>
        <v>181080000</v>
      </c>
      <c r="I18" s="57">
        <f t="shared" si="6"/>
        <v>114684000</v>
      </c>
      <c r="J18" s="47"/>
      <c r="K18" s="47"/>
      <c r="L18" s="47"/>
      <c r="M18" s="47"/>
    </row>
    <row r="19" spans="2:13" x14ac:dyDescent="0.35">
      <c r="B19" s="52">
        <v>4</v>
      </c>
      <c r="C19" s="53" t="str">
        <f>'Price setting'!C7</f>
        <v>Mũ</v>
      </c>
      <c r="D19" s="54">
        <f t="shared" ref="D19:E19" si="8">D9</f>
        <v>45000</v>
      </c>
      <c r="E19" s="54">
        <f t="shared" si="8"/>
        <v>15500</v>
      </c>
      <c r="F19" s="55">
        <v>501</v>
      </c>
      <c r="G19" s="56">
        <f t="shared" si="4"/>
        <v>6012</v>
      </c>
      <c r="H19" s="57">
        <f t="shared" si="5"/>
        <v>270540000</v>
      </c>
      <c r="I19" s="57">
        <f t="shared" si="6"/>
        <v>93186000</v>
      </c>
      <c r="J19" s="47"/>
      <c r="K19" s="47"/>
      <c r="L19" s="47"/>
      <c r="M19" s="47"/>
    </row>
    <row r="20" spans="2:13" x14ac:dyDescent="0.35">
      <c r="B20" s="52">
        <v>5</v>
      </c>
      <c r="C20" s="53" t="str">
        <f>'Price setting'!C8</f>
        <v>Tất</v>
      </c>
      <c r="D20" s="54">
        <f t="shared" ref="D20:E20" si="9">D10</f>
        <v>20000</v>
      </c>
      <c r="E20" s="54">
        <f t="shared" si="9"/>
        <v>9500</v>
      </c>
      <c r="F20" s="55">
        <v>299</v>
      </c>
      <c r="G20" s="56">
        <f t="shared" si="4"/>
        <v>3588</v>
      </c>
      <c r="H20" s="57">
        <f t="shared" si="5"/>
        <v>71760000</v>
      </c>
      <c r="I20" s="57">
        <f t="shared" si="6"/>
        <v>34086000</v>
      </c>
      <c r="J20" s="47"/>
      <c r="K20" s="47"/>
      <c r="L20" s="47"/>
      <c r="M20" s="47"/>
    </row>
    <row r="21" spans="2:13" x14ac:dyDescent="0.35">
      <c r="B21" s="52">
        <v>6</v>
      </c>
      <c r="C21" s="53" t="str">
        <f>'Price setting'!C9</f>
        <v>Áo bomber</v>
      </c>
      <c r="D21" s="54">
        <f t="shared" ref="D21:E21" si="10">D11</f>
        <v>320000</v>
      </c>
      <c r="E21" s="54">
        <f t="shared" si="10"/>
        <v>158000</v>
      </c>
      <c r="F21" s="55">
        <v>95</v>
      </c>
      <c r="G21" s="56">
        <f t="shared" si="4"/>
        <v>1140</v>
      </c>
      <c r="H21" s="57">
        <f t="shared" si="5"/>
        <v>364800000</v>
      </c>
      <c r="I21" s="57">
        <f t="shared" si="6"/>
        <v>180120000</v>
      </c>
      <c r="J21" s="47"/>
      <c r="K21" s="47"/>
      <c r="L21" s="47"/>
      <c r="M21" s="47"/>
    </row>
    <row r="22" spans="2:13" x14ac:dyDescent="0.35">
      <c r="B22" s="253" t="s">
        <v>0</v>
      </c>
      <c r="C22" s="242"/>
      <c r="D22" s="242"/>
      <c r="E22" s="242"/>
      <c r="F22" s="58">
        <f>SUM(F16:F21)</f>
        <v>2646</v>
      </c>
      <c r="G22" s="58">
        <f>SUM(G16:G21)</f>
        <v>31752</v>
      </c>
      <c r="H22" s="59">
        <f>SUM(H16:H21)</f>
        <v>3175020000</v>
      </c>
      <c r="I22" s="59">
        <f>SUM(I16:I21)</f>
        <v>1511556000</v>
      </c>
      <c r="J22" s="47"/>
      <c r="K22" s="47"/>
      <c r="L22" s="47"/>
    </row>
    <row r="23" spans="2:13" x14ac:dyDescent="0.35">
      <c r="B23" s="47"/>
      <c r="I23" s="47"/>
      <c r="J23" s="47"/>
      <c r="K23" s="47"/>
      <c r="L23" s="47"/>
      <c r="M23" s="47"/>
    </row>
    <row r="24" spans="2:13" ht="18.75" customHeight="1" x14ac:dyDescent="0.35">
      <c r="B24" s="254" t="s">
        <v>30</v>
      </c>
      <c r="C24" s="242"/>
      <c r="D24" s="242"/>
      <c r="E24" s="242"/>
      <c r="F24" s="242"/>
      <c r="G24" s="242"/>
      <c r="H24" s="242"/>
      <c r="I24" s="242"/>
      <c r="J24" s="47"/>
      <c r="K24" s="47"/>
      <c r="L24" s="47"/>
      <c r="M24" s="47"/>
    </row>
    <row r="25" spans="2:13" ht="39.75" customHeight="1" x14ac:dyDescent="0.35">
      <c r="B25" s="50" t="s">
        <v>1</v>
      </c>
      <c r="C25" s="50" t="s">
        <v>2</v>
      </c>
      <c r="D25" s="50" t="s">
        <v>61</v>
      </c>
      <c r="E25" s="50" t="s">
        <v>93</v>
      </c>
      <c r="F25" s="182" t="s">
        <v>164</v>
      </c>
      <c r="G25" s="50" t="s">
        <v>128</v>
      </c>
      <c r="H25" s="50" t="s">
        <v>62</v>
      </c>
      <c r="I25" s="50" t="s">
        <v>167</v>
      </c>
      <c r="J25" s="47"/>
      <c r="K25" s="47"/>
      <c r="L25" s="47"/>
      <c r="M25" s="47"/>
    </row>
    <row r="26" spans="2:13" x14ac:dyDescent="0.35">
      <c r="B26" s="52">
        <v>1</v>
      </c>
      <c r="C26" s="53" t="str">
        <f>'Price setting'!C4</f>
        <v>Áo phông</v>
      </c>
      <c r="D26" s="54">
        <f t="shared" ref="D26:E27" si="11">D6</f>
        <v>250000</v>
      </c>
      <c r="E26" s="54">
        <f t="shared" si="11"/>
        <v>118000</v>
      </c>
      <c r="F26" s="55">
        <f>INT(F16*115%)</f>
        <v>691</v>
      </c>
      <c r="G26" s="56">
        <f>F26*12</f>
        <v>8292</v>
      </c>
      <c r="H26" s="57">
        <f>G26*D26</f>
        <v>2073000000</v>
      </c>
      <c r="I26" s="57">
        <f>G26*E26</f>
        <v>978456000</v>
      </c>
      <c r="J26" s="47"/>
      <c r="K26" s="47"/>
      <c r="L26" s="47"/>
      <c r="M26" s="47"/>
    </row>
    <row r="27" spans="2:13" x14ac:dyDescent="0.35">
      <c r="B27" s="52">
        <v>2</v>
      </c>
      <c r="C27" s="53" t="str">
        <f>'Price setting'!C5</f>
        <v>Áo hoodie</v>
      </c>
      <c r="D27" s="54">
        <f t="shared" si="11"/>
        <v>280000</v>
      </c>
      <c r="E27" s="54">
        <f t="shared" si="11"/>
        <v>138000</v>
      </c>
      <c r="F27" s="55">
        <f t="shared" ref="F27:F31" si="12">INT(F17*115%)</f>
        <v>165</v>
      </c>
      <c r="G27" s="56">
        <f t="shared" ref="G27:G31" si="13">F27*12</f>
        <v>1980</v>
      </c>
      <c r="H27" s="57">
        <f t="shared" ref="H27:H31" si="14">G27*D27</f>
        <v>554400000</v>
      </c>
      <c r="I27" s="57">
        <f t="shared" ref="I27:I31" si="15">G27*E27</f>
        <v>273240000</v>
      </c>
      <c r="J27" s="47"/>
      <c r="K27" s="47"/>
      <c r="L27" s="47"/>
      <c r="M27" s="47"/>
    </row>
    <row r="28" spans="2:13" x14ac:dyDescent="0.35">
      <c r="B28" s="52">
        <v>3</v>
      </c>
      <c r="C28" s="53" t="str">
        <f>'Price setting'!C6</f>
        <v>Móc khoá</v>
      </c>
      <c r="D28" s="54">
        <f t="shared" ref="D28:E28" si="16">D8</f>
        <v>15000</v>
      </c>
      <c r="E28" s="54">
        <f t="shared" si="16"/>
        <v>9500</v>
      </c>
      <c r="F28" s="55">
        <f t="shared" si="12"/>
        <v>1156</v>
      </c>
      <c r="G28" s="56">
        <f t="shared" si="13"/>
        <v>13872</v>
      </c>
      <c r="H28" s="57">
        <f t="shared" si="14"/>
        <v>208080000</v>
      </c>
      <c r="I28" s="57">
        <f t="shared" si="15"/>
        <v>131784000</v>
      </c>
      <c r="J28" s="47"/>
      <c r="K28" s="47"/>
      <c r="L28" s="47"/>
      <c r="M28" s="47"/>
    </row>
    <row r="29" spans="2:13" x14ac:dyDescent="0.35">
      <c r="B29" s="52">
        <v>4</v>
      </c>
      <c r="C29" s="53" t="str">
        <f>'Price setting'!C7</f>
        <v>Mũ</v>
      </c>
      <c r="D29" s="54">
        <f t="shared" ref="D29:E29" si="17">D9</f>
        <v>45000</v>
      </c>
      <c r="E29" s="54">
        <f t="shared" si="17"/>
        <v>15500</v>
      </c>
      <c r="F29" s="55">
        <f t="shared" si="12"/>
        <v>576</v>
      </c>
      <c r="G29" s="56">
        <f t="shared" si="13"/>
        <v>6912</v>
      </c>
      <c r="H29" s="57">
        <f t="shared" si="14"/>
        <v>311040000</v>
      </c>
      <c r="I29" s="57">
        <f t="shared" si="15"/>
        <v>107136000</v>
      </c>
      <c r="J29" s="47"/>
      <c r="K29" s="47"/>
      <c r="L29" s="47"/>
      <c r="M29" s="47"/>
    </row>
    <row r="30" spans="2:13" x14ac:dyDescent="0.35">
      <c r="B30" s="52">
        <v>5</v>
      </c>
      <c r="C30" s="53" t="str">
        <f>'Price setting'!C8</f>
        <v>Tất</v>
      </c>
      <c r="D30" s="54">
        <f t="shared" ref="D30:E30" si="18">D10</f>
        <v>20000</v>
      </c>
      <c r="E30" s="54">
        <f t="shared" si="18"/>
        <v>9500</v>
      </c>
      <c r="F30" s="55">
        <f t="shared" si="12"/>
        <v>343</v>
      </c>
      <c r="G30" s="56">
        <f t="shared" si="13"/>
        <v>4116</v>
      </c>
      <c r="H30" s="57">
        <f t="shared" si="14"/>
        <v>82320000</v>
      </c>
      <c r="I30" s="57">
        <f t="shared" si="15"/>
        <v>39102000</v>
      </c>
      <c r="J30" s="47"/>
      <c r="K30" s="47"/>
      <c r="L30" s="47"/>
      <c r="M30" s="47"/>
    </row>
    <row r="31" spans="2:13" x14ac:dyDescent="0.35">
      <c r="B31" s="52">
        <v>6</v>
      </c>
      <c r="C31" s="53" t="str">
        <f>'Price setting'!C9</f>
        <v>Áo bomber</v>
      </c>
      <c r="D31" s="54">
        <f t="shared" ref="D31:E31" si="19">D11</f>
        <v>320000</v>
      </c>
      <c r="E31" s="54">
        <f t="shared" si="19"/>
        <v>158000</v>
      </c>
      <c r="F31" s="55">
        <f t="shared" si="12"/>
        <v>109</v>
      </c>
      <c r="G31" s="56">
        <f t="shared" si="13"/>
        <v>1308</v>
      </c>
      <c r="H31" s="57">
        <f t="shared" si="14"/>
        <v>418560000</v>
      </c>
      <c r="I31" s="57">
        <f t="shared" si="15"/>
        <v>206664000</v>
      </c>
      <c r="J31" s="47"/>
      <c r="K31" s="47"/>
      <c r="L31" s="47"/>
      <c r="M31" s="47"/>
    </row>
    <row r="32" spans="2:13" ht="18.75" customHeight="1" x14ac:dyDescent="0.35">
      <c r="B32" s="253" t="s">
        <v>0</v>
      </c>
      <c r="C32" s="242"/>
      <c r="D32" s="242"/>
      <c r="E32" s="242"/>
      <c r="F32" s="58">
        <f>SUM(F26:F31)</f>
        <v>3040</v>
      </c>
      <c r="G32" s="58">
        <f>SUM(G26:G31)</f>
        <v>36480</v>
      </c>
      <c r="H32" s="59">
        <f>SUM(H26:H31)</f>
        <v>3647400000</v>
      </c>
      <c r="I32" s="59">
        <f>SUM(I26:I31)</f>
        <v>1736382000</v>
      </c>
      <c r="J32" s="47"/>
      <c r="K32" s="47"/>
      <c r="L32" s="47"/>
    </row>
    <row r="33" spans="2:16" x14ac:dyDescent="0.35">
      <c r="B33" s="48"/>
      <c r="I33" s="47"/>
      <c r="J33" s="47"/>
      <c r="K33" s="47"/>
      <c r="L33" s="47"/>
      <c r="M33" s="47"/>
    </row>
    <row r="34" spans="2:16" ht="18.75" customHeight="1" x14ac:dyDescent="0.35">
      <c r="B34" s="254" t="s">
        <v>31</v>
      </c>
      <c r="C34" s="242"/>
      <c r="D34" s="242"/>
      <c r="E34" s="242"/>
      <c r="F34" s="242"/>
      <c r="G34" s="242"/>
      <c r="H34" s="242"/>
      <c r="I34" s="242"/>
      <c r="J34" s="47"/>
      <c r="K34" s="47"/>
      <c r="L34" s="47"/>
      <c r="M34" s="47"/>
    </row>
    <row r="35" spans="2:16" ht="39.75" customHeight="1" x14ac:dyDescent="0.35">
      <c r="B35" s="50" t="s">
        <v>1</v>
      </c>
      <c r="C35" s="50" t="s">
        <v>2</v>
      </c>
      <c r="D35" s="50" t="s">
        <v>63</v>
      </c>
      <c r="E35" s="50" t="s">
        <v>93</v>
      </c>
      <c r="F35" s="182" t="s">
        <v>164</v>
      </c>
      <c r="G35" s="50" t="s">
        <v>128</v>
      </c>
      <c r="H35" s="50" t="s">
        <v>62</v>
      </c>
      <c r="I35" s="50" t="s">
        <v>167</v>
      </c>
      <c r="J35" s="47"/>
      <c r="K35" s="47"/>
      <c r="L35" s="47"/>
      <c r="M35" s="47"/>
    </row>
    <row r="36" spans="2:16" x14ac:dyDescent="0.35">
      <c r="B36" s="52">
        <v>1</v>
      </c>
      <c r="C36" s="53" t="str">
        <f>'Price setting'!C4</f>
        <v>Áo phông</v>
      </c>
      <c r="D36" s="54">
        <f t="shared" ref="D36:E37" si="20">D6</f>
        <v>250000</v>
      </c>
      <c r="E36" s="54">
        <f t="shared" si="20"/>
        <v>118000</v>
      </c>
      <c r="F36" s="55">
        <f>INT(F26*120%)</f>
        <v>829</v>
      </c>
      <c r="G36" s="56">
        <f>F36*12</f>
        <v>9948</v>
      </c>
      <c r="H36" s="57">
        <f>G36*D36</f>
        <v>2487000000</v>
      </c>
      <c r="I36" s="57">
        <f>G36*E36</f>
        <v>1173864000</v>
      </c>
      <c r="J36" s="47"/>
      <c r="K36" s="47"/>
      <c r="L36" s="47"/>
      <c r="M36" s="47"/>
    </row>
    <row r="37" spans="2:16" x14ac:dyDescent="0.35">
      <c r="B37" s="52">
        <v>2</v>
      </c>
      <c r="C37" s="53" t="str">
        <f>'Price setting'!C5</f>
        <v>Áo hoodie</v>
      </c>
      <c r="D37" s="54">
        <f t="shared" si="20"/>
        <v>280000</v>
      </c>
      <c r="E37" s="54">
        <f t="shared" si="20"/>
        <v>138000</v>
      </c>
      <c r="F37" s="55">
        <f t="shared" ref="F37:F41" si="21">INT(F27*120%)</f>
        <v>198</v>
      </c>
      <c r="G37" s="56">
        <f t="shared" ref="G37:G41" si="22">F37*12</f>
        <v>2376</v>
      </c>
      <c r="H37" s="57">
        <f t="shared" ref="H37:H41" si="23">G37*D37</f>
        <v>665280000</v>
      </c>
      <c r="I37" s="57">
        <f t="shared" ref="I37:I41" si="24">G37*E37</f>
        <v>327888000</v>
      </c>
      <c r="J37" s="47"/>
      <c r="K37" s="47"/>
      <c r="L37" s="47"/>
      <c r="M37" s="47"/>
    </row>
    <row r="38" spans="2:16" x14ac:dyDescent="0.35">
      <c r="B38" s="52">
        <v>3</v>
      </c>
      <c r="C38" s="53" t="str">
        <f>'Price setting'!C6</f>
        <v>Móc khoá</v>
      </c>
      <c r="D38" s="54">
        <f t="shared" ref="D38:E38" si="25">D8</f>
        <v>15000</v>
      </c>
      <c r="E38" s="54">
        <f t="shared" si="25"/>
        <v>9500</v>
      </c>
      <c r="F38" s="55">
        <f t="shared" si="21"/>
        <v>1387</v>
      </c>
      <c r="G38" s="56">
        <f t="shared" si="22"/>
        <v>16644</v>
      </c>
      <c r="H38" s="57">
        <f t="shared" si="23"/>
        <v>249660000</v>
      </c>
      <c r="I38" s="57">
        <f t="shared" si="24"/>
        <v>158118000</v>
      </c>
      <c r="J38" s="47"/>
      <c r="K38" s="47"/>
      <c r="L38" s="47"/>
      <c r="M38" s="47"/>
    </row>
    <row r="39" spans="2:16" x14ac:dyDescent="0.35">
      <c r="B39" s="52">
        <v>4</v>
      </c>
      <c r="C39" s="53" t="str">
        <f>'Price setting'!C7</f>
        <v>Mũ</v>
      </c>
      <c r="D39" s="54">
        <f t="shared" ref="D39:E39" si="26">D9</f>
        <v>45000</v>
      </c>
      <c r="E39" s="54">
        <f t="shared" si="26"/>
        <v>15500</v>
      </c>
      <c r="F39" s="55">
        <f t="shared" si="21"/>
        <v>691</v>
      </c>
      <c r="G39" s="56">
        <f t="shared" si="22"/>
        <v>8292</v>
      </c>
      <c r="H39" s="57">
        <f t="shared" si="23"/>
        <v>373140000</v>
      </c>
      <c r="I39" s="57">
        <f t="shared" si="24"/>
        <v>128526000</v>
      </c>
      <c r="J39" s="47"/>
      <c r="K39" s="47"/>
      <c r="L39" s="47"/>
      <c r="M39" s="47"/>
    </row>
    <row r="40" spans="2:16" x14ac:dyDescent="0.35">
      <c r="B40" s="52">
        <v>5</v>
      </c>
      <c r="C40" s="53" t="str">
        <f>'Price setting'!C8</f>
        <v>Tất</v>
      </c>
      <c r="D40" s="54">
        <f t="shared" ref="D40:E40" si="27">D10</f>
        <v>20000</v>
      </c>
      <c r="E40" s="54">
        <f t="shared" si="27"/>
        <v>9500</v>
      </c>
      <c r="F40" s="55">
        <f t="shared" si="21"/>
        <v>411</v>
      </c>
      <c r="G40" s="56">
        <f t="shared" si="22"/>
        <v>4932</v>
      </c>
      <c r="H40" s="57">
        <f t="shared" si="23"/>
        <v>98640000</v>
      </c>
      <c r="I40" s="57">
        <f t="shared" si="24"/>
        <v>46854000</v>
      </c>
      <c r="J40" s="47"/>
      <c r="K40" s="47"/>
      <c r="L40" s="47"/>
      <c r="M40" s="47"/>
    </row>
    <row r="41" spans="2:16" x14ac:dyDescent="0.35">
      <c r="B41" s="52">
        <v>6</v>
      </c>
      <c r="C41" s="53" t="str">
        <f>'Price setting'!C9</f>
        <v>Áo bomber</v>
      </c>
      <c r="D41" s="54">
        <f t="shared" ref="D41:E41" si="28">D11</f>
        <v>320000</v>
      </c>
      <c r="E41" s="54">
        <f t="shared" si="28"/>
        <v>158000</v>
      </c>
      <c r="F41" s="55">
        <f t="shared" si="21"/>
        <v>130</v>
      </c>
      <c r="G41" s="56">
        <f t="shared" si="22"/>
        <v>1560</v>
      </c>
      <c r="H41" s="57">
        <f t="shared" si="23"/>
        <v>499200000</v>
      </c>
      <c r="I41" s="57">
        <f t="shared" si="24"/>
        <v>246480000</v>
      </c>
      <c r="J41" s="47"/>
      <c r="K41" s="47"/>
      <c r="L41" s="47"/>
      <c r="M41" s="47"/>
    </row>
    <row r="42" spans="2:16" ht="18.75" customHeight="1" x14ac:dyDescent="0.35">
      <c r="B42" s="253" t="s">
        <v>0</v>
      </c>
      <c r="C42" s="242"/>
      <c r="D42" s="242"/>
      <c r="E42" s="242"/>
      <c r="F42" s="58">
        <f>SUM(F36:F41)</f>
        <v>3646</v>
      </c>
      <c r="G42" s="58">
        <f>SUM(G36:G41)</f>
        <v>43752</v>
      </c>
      <c r="H42" s="59">
        <f>SUM(H36:H41)</f>
        <v>4372920000</v>
      </c>
      <c r="I42" s="59">
        <f>SUM(I36:I41)</f>
        <v>2081730000</v>
      </c>
      <c r="J42" s="47"/>
      <c r="K42" s="47"/>
      <c r="L42" s="47"/>
    </row>
    <row r="43" spans="2:16" x14ac:dyDescent="0.35">
      <c r="B43" s="48"/>
      <c r="I43" s="49"/>
      <c r="J43" s="47"/>
      <c r="K43" s="47"/>
      <c r="L43" s="47"/>
      <c r="M43" s="47"/>
    </row>
    <row r="44" spans="2:16" x14ac:dyDescent="0.35">
      <c r="B44" s="47"/>
      <c r="C44" s="47"/>
      <c r="D44" s="47"/>
      <c r="E44" s="47"/>
      <c r="F44" s="47"/>
      <c r="G44" s="48"/>
      <c r="H44" s="47"/>
      <c r="I44" s="47"/>
      <c r="J44" s="47"/>
      <c r="K44" s="47"/>
      <c r="L44" s="47"/>
      <c r="M44" s="47"/>
    </row>
    <row r="45" spans="2:16" x14ac:dyDescent="0.35">
      <c r="B45" s="47"/>
      <c r="C45" s="47"/>
      <c r="D45" s="47"/>
      <c r="E45" s="47"/>
      <c r="F45" s="47"/>
      <c r="G45" s="48"/>
      <c r="H45" s="47"/>
      <c r="I45" s="47"/>
      <c r="J45" s="47"/>
      <c r="K45" s="47"/>
      <c r="L45" s="47"/>
      <c r="M45" s="47"/>
    </row>
    <row r="46" spans="2:16" x14ac:dyDescent="0.35">
      <c r="B46" s="47"/>
      <c r="C46" s="47"/>
      <c r="D46" s="47"/>
      <c r="E46" s="47"/>
      <c r="F46" s="47"/>
      <c r="G46" s="48"/>
      <c r="H46" s="47"/>
      <c r="I46" s="47"/>
      <c r="J46" s="47"/>
      <c r="K46" s="47"/>
      <c r="L46" s="47"/>
      <c r="M46" s="47"/>
    </row>
    <row r="47" spans="2:16" x14ac:dyDescent="0.35">
      <c r="B47" s="47"/>
      <c r="C47" s="47"/>
      <c r="D47" s="47"/>
      <c r="E47" s="47"/>
      <c r="F47" s="47"/>
      <c r="G47" s="48"/>
      <c r="H47" s="47"/>
      <c r="I47" s="47"/>
      <c r="J47" s="47"/>
      <c r="K47" s="47"/>
      <c r="L47" s="47"/>
      <c r="M47" s="47"/>
    </row>
    <row r="48" spans="2:16" ht="36" x14ac:dyDescent="0.35">
      <c r="B48" s="47"/>
      <c r="C48" s="47"/>
      <c r="D48" s="47"/>
      <c r="E48" s="47"/>
      <c r="F48" s="47"/>
      <c r="G48" s="48"/>
      <c r="H48" s="47"/>
      <c r="I48" s="47"/>
      <c r="J48" s="47"/>
      <c r="K48" s="47"/>
      <c r="L48" s="47"/>
      <c r="M48" s="47"/>
      <c r="N48" s="205" t="s">
        <v>190</v>
      </c>
      <c r="O48" s="205" t="s">
        <v>191</v>
      </c>
      <c r="P48" s="205" t="s">
        <v>192</v>
      </c>
    </row>
    <row r="49" spans="2:24" x14ac:dyDescent="0.35">
      <c r="B49" s="47"/>
      <c r="C49" s="47"/>
      <c r="D49" s="47"/>
      <c r="E49" s="47"/>
      <c r="F49" s="47"/>
      <c r="G49" s="48"/>
      <c r="H49" s="47"/>
      <c r="I49" s="47"/>
      <c r="J49" s="47"/>
      <c r="K49" s="47"/>
      <c r="L49" s="47"/>
      <c r="M49" s="47"/>
      <c r="N49" s="206" t="s">
        <v>23</v>
      </c>
      <c r="O49" s="207">
        <v>2127</v>
      </c>
      <c r="P49" s="206" t="s">
        <v>193</v>
      </c>
      <c r="V49" s="205"/>
      <c r="W49" s="205"/>
      <c r="X49" s="205"/>
    </row>
    <row r="50" spans="2:24" x14ac:dyDescent="0.35">
      <c r="B50" s="47"/>
      <c r="C50" s="47"/>
      <c r="D50" s="47"/>
      <c r="E50" s="47"/>
      <c r="F50" s="47"/>
      <c r="G50" s="48"/>
      <c r="H50" s="47"/>
      <c r="I50" s="47"/>
      <c r="J50" s="47"/>
      <c r="K50" s="47"/>
      <c r="L50" s="47"/>
      <c r="M50" s="47"/>
      <c r="N50" s="206" t="s">
        <v>29</v>
      </c>
      <c r="O50" s="207">
        <v>2646</v>
      </c>
      <c r="P50" s="206" t="s">
        <v>194</v>
      </c>
      <c r="V50" s="206"/>
      <c r="W50" s="207"/>
      <c r="X50" s="206"/>
    </row>
    <row r="51" spans="2:24" x14ac:dyDescent="0.35">
      <c r="B51" s="47"/>
      <c r="C51" s="47"/>
      <c r="D51" s="47"/>
      <c r="E51" s="47"/>
      <c r="F51" s="47"/>
      <c r="G51" s="48"/>
      <c r="H51" s="47"/>
      <c r="I51" s="47"/>
      <c r="J51" s="47"/>
      <c r="K51" s="47"/>
      <c r="L51" s="47"/>
      <c r="M51" s="47"/>
      <c r="N51" s="206" t="s">
        <v>30</v>
      </c>
      <c r="O51" s="207">
        <v>3040</v>
      </c>
      <c r="P51" s="206" t="s">
        <v>195</v>
      </c>
      <c r="V51" s="206"/>
      <c r="W51" s="207"/>
      <c r="X51" s="206"/>
    </row>
    <row r="52" spans="2:24" x14ac:dyDescent="0.35">
      <c r="B52" s="47"/>
      <c r="C52" s="47"/>
      <c r="D52" s="47"/>
      <c r="E52" s="47"/>
      <c r="F52" s="47"/>
      <c r="G52" s="48"/>
      <c r="H52" s="47"/>
      <c r="I52" s="47"/>
      <c r="J52" s="47"/>
      <c r="K52" s="47"/>
      <c r="L52" s="47"/>
      <c r="M52" s="47"/>
      <c r="N52" s="206" t="s">
        <v>31</v>
      </c>
      <c r="O52" s="207">
        <v>3646</v>
      </c>
      <c r="P52" s="206"/>
      <c r="V52" s="206"/>
      <c r="W52" s="207"/>
      <c r="X52" s="206"/>
    </row>
    <row r="53" spans="2:24" x14ac:dyDescent="0.35">
      <c r="B53" s="47"/>
      <c r="C53" s="47"/>
      <c r="D53" s="47"/>
      <c r="E53" s="47"/>
      <c r="F53" s="47"/>
      <c r="G53" s="48"/>
      <c r="H53" s="47"/>
      <c r="I53" s="47"/>
      <c r="J53" s="47"/>
      <c r="K53" s="47"/>
      <c r="L53" s="47"/>
      <c r="M53" s="47"/>
      <c r="V53" s="206"/>
      <c r="W53" s="207"/>
      <c r="X53" s="206"/>
    </row>
    <row r="54" spans="2:24" x14ac:dyDescent="0.35">
      <c r="B54" s="47"/>
      <c r="C54" s="47"/>
      <c r="D54" s="47"/>
      <c r="E54" s="47"/>
      <c r="F54" s="47"/>
      <c r="G54" s="48"/>
      <c r="H54" s="47"/>
      <c r="I54" s="47"/>
      <c r="J54" s="47"/>
      <c r="K54" s="47"/>
      <c r="L54" s="47"/>
      <c r="M54" s="47"/>
    </row>
    <row r="55" spans="2:24" x14ac:dyDescent="0.35">
      <c r="B55" s="47"/>
      <c r="C55" s="47"/>
      <c r="D55" s="47"/>
      <c r="E55" s="47"/>
      <c r="F55" s="47"/>
      <c r="G55" s="48"/>
      <c r="H55" s="47"/>
      <c r="I55" s="47"/>
      <c r="J55" s="47"/>
      <c r="K55" s="47"/>
      <c r="L55" s="47"/>
      <c r="M55" s="47"/>
    </row>
    <row r="56" spans="2:24" x14ac:dyDescent="0.35">
      <c r="B56" s="47"/>
      <c r="C56" s="47"/>
      <c r="D56" s="47"/>
      <c r="E56" s="47"/>
      <c r="F56" s="47"/>
      <c r="G56" s="48"/>
      <c r="H56" s="47"/>
      <c r="I56" s="47"/>
      <c r="J56" s="47"/>
      <c r="K56" s="47"/>
      <c r="L56" s="47"/>
      <c r="M56" s="47"/>
    </row>
    <row r="57" spans="2:24" x14ac:dyDescent="0.35">
      <c r="B57" s="47"/>
      <c r="C57" s="47"/>
      <c r="D57" s="47"/>
      <c r="E57" s="47"/>
      <c r="F57" s="47"/>
      <c r="G57" s="48"/>
      <c r="H57" s="47"/>
      <c r="I57" s="47"/>
      <c r="J57" s="47"/>
      <c r="K57" s="47"/>
      <c r="L57" s="47"/>
      <c r="M57" s="47"/>
    </row>
    <row r="58" spans="2:24" x14ac:dyDescent="0.35">
      <c r="B58" s="47"/>
      <c r="C58" s="47"/>
      <c r="D58" s="47"/>
      <c r="E58" s="47"/>
      <c r="F58" s="47"/>
      <c r="G58" s="48"/>
      <c r="H58" s="47"/>
      <c r="I58" s="47"/>
      <c r="J58" s="47"/>
      <c r="K58" s="47"/>
      <c r="L58" s="47"/>
      <c r="M58" s="47"/>
    </row>
    <row r="59" spans="2:24" x14ac:dyDescent="0.35">
      <c r="B59" s="47"/>
      <c r="C59" s="47"/>
      <c r="D59" s="47"/>
      <c r="E59" s="47"/>
      <c r="F59" s="47"/>
      <c r="G59" s="48"/>
      <c r="H59" s="47"/>
      <c r="I59" s="47"/>
      <c r="J59" s="47"/>
      <c r="K59" s="47"/>
      <c r="L59" s="47"/>
      <c r="M59" s="47"/>
    </row>
    <row r="60" spans="2:24" x14ac:dyDescent="0.35">
      <c r="B60" s="47"/>
      <c r="C60" s="47"/>
      <c r="D60" s="47"/>
      <c r="E60" s="47"/>
      <c r="F60" s="47"/>
      <c r="G60" s="48"/>
      <c r="H60" s="47"/>
      <c r="I60" s="47"/>
      <c r="J60" s="47"/>
      <c r="K60" s="47"/>
      <c r="L60" s="47"/>
      <c r="M60" s="47"/>
    </row>
    <row r="61" spans="2:24" x14ac:dyDescent="0.35">
      <c r="B61" s="47"/>
      <c r="C61" s="47"/>
      <c r="D61" s="47"/>
      <c r="E61" s="47"/>
      <c r="F61" s="47"/>
      <c r="G61" s="48"/>
      <c r="H61" s="47"/>
      <c r="I61" s="47"/>
      <c r="J61" s="47"/>
      <c r="K61" s="47"/>
      <c r="L61" s="47"/>
      <c r="M61" s="47"/>
    </row>
    <row r="62" spans="2:24" x14ac:dyDescent="0.35">
      <c r="B62" s="47"/>
      <c r="C62" s="47"/>
      <c r="D62" s="47"/>
      <c r="E62" s="47"/>
      <c r="F62" s="47"/>
      <c r="G62" s="48"/>
      <c r="H62" s="47"/>
      <c r="I62" s="47"/>
      <c r="J62" s="47"/>
      <c r="K62" s="47"/>
      <c r="L62" s="47"/>
      <c r="M62" s="47"/>
    </row>
    <row r="63" spans="2:24" x14ac:dyDescent="0.35">
      <c r="B63" s="47"/>
      <c r="C63" s="47"/>
      <c r="D63" s="47"/>
      <c r="E63" s="47"/>
      <c r="F63" s="47"/>
      <c r="G63" s="48"/>
      <c r="H63" s="47"/>
      <c r="I63" s="47"/>
      <c r="J63" s="47"/>
      <c r="K63" s="47"/>
      <c r="L63" s="47"/>
      <c r="M63" s="47"/>
    </row>
    <row r="64" spans="2:24" x14ac:dyDescent="0.35">
      <c r="B64" s="47"/>
      <c r="C64" s="47"/>
      <c r="D64" s="47"/>
      <c r="E64" s="47"/>
      <c r="F64" s="47"/>
      <c r="G64" s="48"/>
      <c r="H64" s="47"/>
      <c r="I64" s="47"/>
      <c r="J64" s="47"/>
      <c r="K64" s="47"/>
      <c r="L64" s="47"/>
      <c r="M64" s="47"/>
    </row>
    <row r="65" spans="2:13" x14ac:dyDescent="0.35">
      <c r="B65" s="47"/>
      <c r="C65" s="47"/>
      <c r="D65" s="47"/>
      <c r="E65" s="47"/>
      <c r="F65" s="47"/>
      <c r="G65" s="48"/>
      <c r="H65" s="47"/>
      <c r="I65" s="47"/>
      <c r="J65" s="47"/>
      <c r="K65" s="47"/>
      <c r="L65" s="47"/>
      <c r="M65" s="47"/>
    </row>
    <row r="66" spans="2:13" x14ac:dyDescent="0.35">
      <c r="B66" s="47"/>
      <c r="C66" s="47"/>
      <c r="D66" s="47"/>
      <c r="E66" s="47"/>
      <c r="F66" s="47"/>
      <c r="G66" s="48"/>
      <c r="H66" s="47"/>
      <c r="I66" s="47"/>
      <c r="J66" s="47"/>
      <c r="K66" s="47"/>
      <c r="L66" s="47"/>
      <c r="M66" s="47"/>
    </row>
    <row r="67" spans="2:13" x14ac:dyDescent="0.35">
      <c r="B67" s="47"/>
      <c r="C67" s="47"/>
      <c r="D67" s="47"/>
      <c r="E67" s="47"/>
      <c r="F67" s="47"/>
      <c r="G67" s="48"/>
      <c r="H67" s="47"/>
      <c r="I67" s="47"/>
      <c r="J67" s="47"/>
      <c r="K67" s="47"/>
      <c r="L67" s="47"/>
      <c r="M67" s="47"/>
    </row>
    <row r="68" spans="2:13" x14ac:dyDescent="0.35">
      <c r="B68" s="47"/>
      <c r="C68" s="47"/>
      <c r="D68" s="47"/>
      <c r="E68" s="47"/>
      <c r="F68" s="47"/>
      <c r="G68" s="48"/>
      <c r="H68" s="47"/>
      <c r="I68" s="47"/>
      <c r="J68" s="47"/>
      <c r="K68" s="47"/>
      <c r="L68" s="47"/>
      <c r="M68" s="47"/>
    </row>
    <row r="69" spans="2:13" x14ac:dyDescent="0.35">
      <c r="B69" s="47"/>
      <c r="C69" s="47"/>
      <c r="D69" s="47"/>
      <c r="E69" s="47"/>
      <c r="F69" s="47"/>
      <c r="G69" s="48"/>
      <c r="H69" s="47"/>
      <c r="I69" s="47"/>
      <c r="J69" s="47"/>
      <c r="K69" s="47"/>
      <c r="L69" s="47"/>
      <c r="M69" s="47"/>
    </row>
    <row r="70" spans="2:13" x14ac:dyDescent="0.35">
      <c r="B70" s="47"/>
      <c r="C70" s="47"/>
      <c r="D70" s="47"/>
      <c r="E70" s="47"/>
      <c r="F70" s="47"/>
      <c r="G70" s="48"/>
      <c r="H70" s="47"/>
      <c r="I70" s="47"/>
      <c r="J70" s="47"/>
      <c r="K70" s="47"/>
      <c r="L70" s="47"/>
      <c r="M70" s="47"/>
    </row>
    <row r="71" spans="2:13" x14ac:dyDescent="0.35">
      <c r="B71" s="47"/>
      <c r="C71" s="47"/>
      <c r="D71" s="47"/>
      <c r="E71" s="47"/>
      <c r="F71" s="47"/>
      <c r="G71" s="48"/>
      <c r="H71" s="47"/>
      <c r="I71" s="47"/>
      <c r="J71" s="47"/>
      <c r="K71" s="47"/>
      <c r="L71" s="47"/>
      <c r="M71" s="47"/>
    </row>
    <row r="72" spans="2:13" x14ac:dyDescent="0.35">
      <c r="B72" s="47"/>
      <c r="C72" s="47"/>
      <c r="D72" s="47"/>
      <c r="E72" s="47"/>
      <c r="F72" s="47"/>
      <c r="G72" s="48"/>
      <c r="H72" s="47"/>
      <c r="I72" s="47"/>
      <c r="J72" s="47"/>
      <c r="K72" s="47"/>
      <c r="L72" s="47"/>
      <c r="M72" s="47"/>
    </row>
    <row r="73" spans="2:13" x14ac:dyDescent="0.35">
      <c r="B73" s="47"/>
      <c r="C73" s="47"/>
      <c r="D73" s="47"/>
      <c r="E73" s="47"/>
      <c r="F73" s="47"/>
      <c r="G73" s="48"/>
      <c r="H73" s="47"/>
      <c r="I73" s="47"/>
      <c r="J73" s="47"/>
      <c r="K73" s="47"/>
      <c r="L73" s="47"/>
      <c r="M73" s="47"/>
    </row>
    <row r="74" spans="2:13" x14ac:dyDescent="0.35">
      <c r="B74" s="47"/>
      <c r="C74" s="47"/>
      <c r="D74" s="47"/>
      <c r="E74" s="47"/>
      <c r="F74" s="47"/>
      <c r="G74" s="48"/>
      <c r="H74" s="47"/>
      <c r="I74" s="47"/>
      <c r="J74" s="47"/>
      <c r="K74" s="47"/>
      <c r="L74" s="47"/>
      <c r="M74" s="47"/>
    </row>
    <row r="75" spans="2:13" x14ac:dyDescent="0.35">
      <c r="B75" s="47"/>
      <c r="C75" s="47"/>
      <c r="D75" s="47"/>
      <c r="E75" s="47"/>
      <c r="F75" s="47"/>
      <c r="G75" s="48"/>
      <c r="H75" s="47"/>
      <c r="I75" s="47"/>
      <c r="J75" s="47"/>
      <c r="K75" s="47"/>
      <c r="L75" s="47"/>
      <c r="M75" s="47"/>
    </row>
    <row r="76" spans="2:13" x14ac:dyDescent="0.35">
      <c r="B76" s="47"/>
      <c r="C76" s="47"/>
      <c r="D76" s="47"/>
      <c r="E76" s="47"/>
      <c r="F76" s="47"/>
      <c r="G76" s="48"/>
      <c r="H76" s="47"/>
      <c r="I76" s="47"/>
      <c r="J76" s="47"/>
      <c r="K76" s="47"/>
      <c r="L76" s="47"/>
      <c r="M76" s="47"/>
    </row>
    <row r="77" spans="2:13" x14ac:dyDescent="0.35">
      <c r="B77" s="47"/>
      <c r="C77" s="47"/>
      <c r="D77" s="47"/>
      <c r="E77" s="47"/>
      <c r="F77" s="47"/>
      <c r="G77" s="48"/>
      <c r="H77" s="47"/>
      <c r="I77" s="47"/>
      <c r="J77" s="47"/>
      <c r="K77" s="47"/>
      <c r="L77" s="47"/>
      <c r="M77" s="47"/>
    </row>
    <row r="78" spans="2:13" x14ac:dyDescent="0.35">
      <c r="B78" s="47"/>
      <c r="C78" s="47"/>
      <c r="D78" s="47"/>
      <c r="E78" s="47"/>
      <c r="F78" s="47"/>
      <c r="G78" s="48"/>
      <c r="H78" s="47"/>
      <c r="I78" s="47"/>
      <c r="J78" s="47"/>
      <c r="K78" s="47"/>
      <c r="L78" s="47"/>
      <c r="M78" s="47"/>
    </row>
    <row r="79" spans="2:13" x14ac:dyDescent="0.35">
      <c r="B79" s="47"/>
      <c r="C79" s="47"/>
      <c r="D79" s="47"/>
      <c r="E79" s="47"/>
      <c r="F79" s="47"/>
      <c r="G79" s="48"/>
      <c r="H79" s="47"/>
      <c r="I79" s="47"/>
      <c r="J79" s="47"/>
      <c r="K79" s="47"/>
      <c r="L79" s="47"/>
      <c r="M79" s="47"/>
    </row>
    <row r="80" spans="2:13" x14ac:dyDescent="0.35">
      <c r="B80" s="47"/>
      <c r="C80" s="47"/>
      <c r="D80" s="47"/>
      <c r="E80" s="47"/>
      <c r="F80" s="47"/>
      <c r="G80" s="48"/>
      <c r="H80" s="47"/>
      <c r="I80" s="47"/>
      <c r="J80" s="47"/>
      <c r="K80" s="47"/>
      <c r="L80" s="47"/>
      <c r="M80" s="47"/>
    </row>
    <row r="81" spans="2:13" x14ac:dyDescent="0.35">
      <c r="B81" s="47"/>
      <c r="C81" s="47"/>
      <c r="D81" s="47"/>
      <c r="E81" s="47"/>
      <c r="F81" s="47"/>
      <c r="G81" s="48"/>
      <c r="H81" s="47"/>
      <c r="I81" s="47"/>
      <c r="J81" s="47"/>
      <c r="K81" s="47"/>
      <c r="L81" s="47"/>
      <c r="M81" s="47"/>
    </row>
    <row r="82" spans="2:13" x14ac:dyDescent="0.35">
      <c r="B82" s="47"/>
      <c r="C82" s="47"/>
      <c r="D82" s="47"/>
      <c r="E82" s="47"/>
      <c r="F82" s="47"/>
      <c r="G82" s="48"/>
      <c r="H82" s="47"/>
      <c r="I82" s="47"/>
      <c r="J82" s="47"/>
      <c r="K82" s="47"/>
      <c r="L82" s="47"/>
      <c r="M82" s="47"/>
    </row>
    <row r="83" spans="2:13" x14ac:dyDescent="0.35">
      <c r="B83" s="47"/>
      <c r="C83" s="47"/>
      <c r="D83" s="47"/>
      <c r="E83" s="47"/>
      <c r="F83" s="47"/>
      <c r="G83" s="48"/>
      <c r="H83" s="47"/>
      <c r="I83" s="47"/>
      <c r="J83" s="47"/>
      <c r="K83" s="47"/>
      <c r="L83" s="47"/>
      <c r="M83" s="47"/>
    </row>
    <row r="84" spans="2:13" x14ac:dyDescent="0.35">
      <c r="B84" s="47"/>
      <c r="C84" s="47"/>
      <c r="D84" s="47"/>
      <c r="E84" s="47"/>
      <c r="F84" s="47"/>
      <c r="G84" s="48"/>
      <c r="H84" s="47"/>
      <c r="I84" s="47"/>
      <c r="J84" s="47"/>
      <c r="K84" s="47"/>
      <c r="L84" s="47"/>
      <c r="M84" s="47"/>
    </row>
    <row r="85" spans="2:13" x14ac:dyDescent="0.35">
      <c r="B85" s="47"/>
      <c r="C85" s="47"/>
      <c r="D85" s="47"/>
      <c r="E85" s="47"/>
      <c r="F85" s="47"/>
      <c r="G85" s="48"/>
      <c r="H85" s="47"/>
      <c r="I85" s="47"/>
      <c r="J85" s="47"/>
      <c r="K85" s="47"/>
      <c r="L85" s="47"/>
      <c r="M85" s="47"/>
    </row>
    <row r="86" spans="2:13" x14ac:dyDescent="0.35">
      <c r="B86" s="47"/>
      <c r="C86" s="47"/>
      <c r="D86" s="47"/>
      <c r="E86" s="47"/>
      <c r="F86" s="47"/>
      <c r="G86" s="48"/>
      <c r="H86" s="47"/>
      <c r="I86" s="47"/>
      <c r="J86" s="47"/>
      <c r="K86" s="47"/>
      <c r="L86" s="47"/>
      <c r="M86" s="47"/>
    </row>
    <row r="87" spans="2:13" x14ac:dyDescent="0.35">
      <c r="B87" s="47"/>
      <c r="C87" s="47"/>
      <c r="D87" s="47"/>
      <c r="E87" s="47"/>
      <c r="F87" s="47"/>
      <c r="G87" s="48"/>
      <c r="H87" s="47"/>
      <c r="I87" s="47"/>
      <c r="J87" s="47"/>
      <c r="K87" s="47"/>
      <c r="L87" s="47"/>
      <c r="M87" s="47"/>
    </row>
    <row r="88" spans="2:13" x14ac:dyDescent="0.35">
      <c r="B88" s="47"/>
      <c r="C88" s="47"/>
      <c r="D88" s="47"/>
      <c r="E88" s="47"/>
      <c r="F88" s="47"/>
      <c r="G88" s="48"/>
      <c r="H88" s="47"/>
      <c r="I88" s="47"/>
      <c r="J88" s="47"/>
      <c r="K88" s="47"/>
      <c r="L88" s="47"/>
      <c r="M88" s="47"/>
    </row>
    <row r="89" spans="2:13" x14ac:dyDescent="0.35">
      <c r="B89" s="47"/>
      <c r="C89" s="47"/>
      <c r="D89" s="47"/>
      <c r="E89" s="47"/>
      <c r="F89" s="47"/>
      <c r="G89" s="48"/>
      <c r="H89" s="47"/>
      <c r="I89" s="47"/>
      <c r="J89" s="47"/>
      <c r="K89" s="47"/>
      <c r="L89" s="47"/>
      <c r="M89" s="47"/>
    </row>
    <row r="90" spans="2:13" x14ac:dyDescent="0.35">
      <c r="B90" s="47"/>
      <c r="C90" s="47"/>
      <c r="D90" s="47"/>
      <c r="E90" s="47"/>
      <c r="F90" s="47"/>
      <c r="G90" s="48"/>
      <c r="H90" s="47"/>
      <c r="I90" s="47"/>
      <c r="J90" s="47"/>
      <c r="K90" s="47"/>
      <c r="L90" s="47"/>
      <c r="M90" s="47"/>
    </row>
    <row r="91" spans="2:13" x14ac:dyDescent="0.35">
      <c r="B91" s="47"/>
      <c r="C91" s="47"/>
      <c r="D91" s="47"/>
      <c r="E91" s="47"/>
      <c r="F91" s="47"/>
      <c r="G91" s="48"/>
      <c r="H91" s="47"/>
      <c r="I91" s="47"/>
      <c r="J91" s="47"/>
      <c r="K91" s="47"/>
      <c r="L91" s="47"/>
      <c r="M91" s="47"/>
    </row>
    <row r="92" spans="2:13" x14ac:dyDescent="0.35">
      <c r="B92" s="47"/>
      <c r="C92" s="47"/>
      <c r="D92" s="47"/>
      <c r="E92" s="47"/>
      <c r="F92" s="47"/>
      <c r="G92" s="48"/>
      <c r="H92" s="47"/>
      <c r="I92" s="47"/>
      <c r="J92" s="47"/>
      <c r="K92" s="47"/>
      <c r="L92" s="47"/>
      <c r="M92" s="47"/>
    </row>
    <row r="93" spans="2:13" x14ac:dyDescent="0.35">
      <c r="B93" s="47"/>
      <c r="C93" s="47"/>
      <c r="D93" s="47"/>
      <c r="E93" s="47"/>
      <c r="F93" s="47"/>
      <c r="G93" s="48"/>
      <c r="H93" s="47"/>
      <c r="I93" s="47"/>
      <c r="J93" s="47"/>
      <c r="K93" s="47"/>
      <c r="L93" s="47"/>
      <c r="M93" s="47"/>
    </row>
    <row r="94" spans="2:13" x14ac:dyDescent="0.35">
      <c r="B94" s="47"/>
      <c r="C94" s="47"/>
      <c r="D94" s="47"/>
      <c r="E94" s="47"/>
      <c r="F94" s="47"/>
      <c r="G94" s="48"/>
      <c r="H94" s="47"/>
      <c r="I94" s="47"/>
      <c r="J94" s="47"/>
      <c r="K94" s="47"/>
      <c r="L94" s="47"/>
      <c r="M94" s="47"/>
    </row>
    <row r="95" spans="2:13" x14ac:dyDescent="0.35">
      <c r="B95" s="47"/>
      <c r="C95" s="47"/>
      <c r="D95" s="47"/>
      <c r="E95" s="47"/>
      <c r="F95" s="47"/>
      <c r="G95" s="48"/>
      <c r="H95" s="47"/>
      <c r="I95" s="47"/>
      <c r="J95" s="47"/>
      <c r="K95" s="47"/>
      <c r="L95" s="47"/>
      <c r="M95" s="47"/>
    </row>
    <row r="96" spans="2:13" x14ac:dyDescent="0.35">
      <c r="B96" s="47"/>
      <c r="C96" s="47"/>
      <c r="D96" s="47"/>
      <c r="E96" s="47"/>
      <c r="F96" s="47"/>
      <c r="G96" s="48"/>
      <c r="H96" s="47"/>
      <c r="I96" s="47"/>
      <c r="J96" s="47"/>
      <c r="K96" s="47"/>
      <c r="L96" s="47"/>
      <c r="M96" s="47"/>
    </row>
    <row r="97" spans="2:13" x14ac:dyDescent="0.35">
      <c r="B97" s="47"/>
      <c r="C97" s="47"/>
      <c r="D97" s="47"/>
      <c r="E97" s="47"/>
      <c r="F97" s="47"/>
      <c r="G97" s="48"/>
      <c r="H97" s="47"/>
      <c r="I97" s="47"/>
      <c r="J97" s="47"/>
      <c r="K97" s="47"/>
      <c r="L97" s="47"/>
      <c r="M97" s="47"/>
    </row>
    <row r="98" spans="2:13" x14ac:dyDescent="0.35">
      <c r="B98" s="47"/>
      <c r="C98" s="47"/>
      <c r="D98" s="47"/>
      <c r="E98" s="47"/>
      <c r="F98" s="47"/>
      <c r="G98" s="48"/>
      <c r="H98" s="47"/>
      <c r="I98" s="47"/>
      <c r="J98" s="47"/>
      <c r="K98" s="47"/>
      <c r="L98" s="47"/>
      <c r="M98" s="47"/>
    </row>
    <row r="99" spans="2:13" x14ac:dyDescent="0.35">
      <c r="B99" s="47"/>
      <c r="C99" s="47"/>
      <c r="D99" s="47"/>
      <c r="E99" s="47"/>
      <c r="F99" s="47"/>
      <c r="G99" s="48"/>
      <c r="H99" s="47"/>
      <c r="I99" s="47"/>
      <c r="J99" s="47"/>
      <c r="K99" s="47"/>
      <c r="L99" s="47"/>
      <c r="M99" s="47"/>
    </row>
    <row r="100" spans="2:13" x14ac:dyDescent="0.35">
      <c r="B100" s="47"/>
      <c r="C100" s="47"/>
      <c r="D100" s="47"/>
      <c r="E100" s="47"/>
      <c r="F100" s="47"/>
      <c r="G100" s="48"/>
      <c r="H100" s="47"/>
      <c r="I100" s="47"/>
      <c r="J100" s="47"/>
      <c r="K100" s="47"/>
      <c r="L100" s="47"/>
      <c r="M100" s="47"/>
    </row>
    <row r="101" spans="2:13" x14ac:dyDescent="0.35">
      <c r="B101" s="47"/>
      <c r="C101" s="47"/>
      <c r="D101" s="47"/>
      <c r="E101" s="47"/>
      <c r="F101" s="47"/>
      <c r="G101" s="48"/>
      <c r="H101" s="47"/>
      <c r="I101" s="47"/>
      <c r="J101" s="47"/>
      <c r="K101" s="47"/>
      <c r="L101" s="47"/>
      <c r="M101" s="47"/>
    </row>
    <row r="102" spans="2:13" x14ac:dyDescent="0.35">
      <c r="B102" s="47"/>
      <c r="C102" s="47"/>
      <c r="D102" s="47"/>
      <c r="E102" s="47"/>
      <c r="F102" s="47"/>
      <c r="G102" s="48"/>
      <c r="H102" s="47"/>
      <c r="I102" s="47"/>
      <c r="J102" s="47"/>
      <c r="K102" s="47"/>
      <c r="L102" s="47"/>
      <c r="M102" s="47"/>
    </row>
    <row r="103" spans="2:13" x14ac:dyDescent="0.35">
      <c r="B103" s="47"/>
      <c r="C103" s="47"/>
      <c r="D103" s="47"/>
      <c r="E103" s="47"/>
      <c r="F103" s="47"/>
      <c r="G103" s="48"/>
      <c r="H103" s="47"/>
      <c r="I103" s="47"/>
      <c r="J103" s="47"/>
      <c r="K103" s="47"/>
      <c r="L103" s="47"/>
      <c r="M103" s="47"/>
    </row>
    <row r="104" spans="2:13" x14ac:dyDescent="0.35">
      <c r="B104" s="47"/>
      <c r="C104" s="47"/>
      <c r="D104" s="47"/>
      <c r="E104" s="47"/>
      <c r="F104" s="47"/>
      <c r="G104" s="48"/>
      <c r="H104" s="47"/>
      <c r="I104" s="47"/>
      <c r="J104" s="47"/>
      <c r="K104" s="47"/>
      <c r="L104" s="47"/>
      <c r="M104" s="47"/>
    </row>
    <row r="105" spans="2:13" x14ac:dyDescent="0.35">
      <c r="B105" s="47"/>
      <c r="C105" s="47"/>
      <c r="D105" s="47"/>
      <c r="E105" s="47"/>
      <c r="F105" s="47"/>
      <c r="G105" s="48"/>
      <c r="H105" s="47"/>
      <c r="I105" s="47"/>
      <c r="J105" s="47"/>
      <c r="K105" s="47"/>
      <c r="L105" s="47"/>
      <c r="M105" s="47"/>
    </row>
    <row r="106" spans="2:13" x14ac:dyDescent="0.35">
      <c r="B106" s="47"/>
      <c r="C106" s="47"/>
      <c r="D106" s="47"/>
      <c r="E106" s="47"/>
      <c r="F106" s="47"/>
      <c r="G106" s="48"/>
      <c r="H106" s="47"/>
      <c r="I106" s="47"/>
      <c r="J106" s="47"/>
      <c r="K106" s="47"/>
      <c r="L106" s="47"/>
      <c r="M106" s="47"/>
    </row>
    <row r="107" spans="2:13" x14ac:dyDescent="0.35">
      <c r="B107" s="47"/>
      <c r="C107" s="47"/>
      <c r="D107" s="47"/>
      <c r="E107" s="47"/>
      <c r="F107" s="47"/>
      <c r="G107" s="48"/>
      <c r="H107" s="47"/>
      <c r="I107" s="47"/>
      <c r="J107" s="47"/>
      <c r="K107" s="47"/>
      <c r="L107" s="47"/>
      <c r="M107" s="47"/>
    </row>
    <row r="108" spans="2:13" x14ac:dyDescent="0.35">
      <c r="B108" s="47"/>
      <c r="C108" s="47"/>
      <c r="D108" s="47"/>
      <c r="E108" s="47"/>
      <c r="F108" s="47"/>
      <c r="G108" s="48"/>
      <c r="H108" s="47"/>
      <c r="I108" s="47"/>
      <c r="J108" s="47"/>
      <c r="K108" s="47"/>
      <c r="L108" s="47"/>
      <c r="M108" s="47"/>
    </row>
    <row r="109" spans="2:13" x14ac:dyDescent="0.35">
      <c r="B109" s="47"/>
      <c r="C109" s="47"/>
      <c r="D109" s="47"/>
      <c r="E109" s="47"/>
      <c r="F109" s="47"/>
      <c r="G109" s="48"/>
      <c r="H109" s="47"/>
      <c r="I109" s="47"/>
      <c r="J109" s="47"/>
      <c r="K109" s="47"/>
      <c r="L109" s="47"/>
      <c r="M109" s="47"/>
    </row>
    <row r="110" spans="2:13" x14ac:dyDescent="0.35">
      <c r="B110" s="47"/>
      <c r="C110" s="47"/>
      <c r="D110" s="47"/>
      <c r="E110" s="47"/>
      <c r="F110" s="47"/>
      <c r="G110" s="48"/>
      <c r="H110" s="47"/>
      <c r="I110" s="47"/>
      <c r="J110" s="47"/>
      <c r="K110" s="47"/>
      <c r="L110" s="47"/>
      <c r="M110" s="47"/>
    </row>
    <row r="111" spans="2:13" x14ac:dyDescent="0.35">
      <c r="B111" s="47"/>
      <c r="C111" s="47"/>
      <c r="D111" s="47"/>
      <c r="E111" s="47"/>
      <c r="F111" s="47"/>
      <c r="G111" s="48"/>
      <c r="H111" s="47"/>
      <c r="I111" s="47"/>
      <c r="J111" s="47"/>
      <c r="K111" s="47"/>
      <c r="L111" s="47"/>
      <c r="M111" s="47"/>
    </row>
    <row r="112" spans="2:13" x14ac:dyDescent="0.35">
      <c r="B112" s="47"/>
      <c r="C112" s="47"/>
      <c r="D112" s="47"/>
      <c r="E112" s="47"/>
      <c r="F112" s="47"/>
      <c r="G112" s="48"/>
      <c r="H112" s="47"/>
      <c r="I112" s="47"/>
      <c r="J112" s="47"/>
      <c r="K112" s="47"/>
      <c r="L112" s="47"/>
      <c r="M112" s="47"/>
    </row>
    <row r="113" spans="2:13" x14ac:dyDescent="0.35">
      <c r="B113" s="47"/>
      <c r="C113" s="47"/>
      <c r="D113" s="47"/>
      <c r="E113" s="47"/>
      <c r="F113" s="47"/>
      <c r="G113" s="48"/>
      <c r="H113" s="47"/>
      <c r="I113" s="47"/>
      <c r="J113" s="47"/>
      <c r="K113" s="47"/>
      <c r="L113" s="47"/>
      <c r="M113" s="47"/>
    </row>
    <row r="114" spans="2:13" x14ac:dyDescent="0.35">
      <c r="B114" s="47"/>
      <c r="C114" s="47"/>
      <c r="D114" s="47"/>
      <c r="E114" s="47"/>
      <c r="F114" s="47"/>
      <c r="G114" s="48"/>
      <c r="H114" s="47"/>
      <c r="I114" s="47"/>
      <c r="J114" s="47"/>
      <c r="K114" s="47"/>
      <c r="L114" s="47"/>
      <c r="M114" s="47"/>
    </row>
    <row r="115" spans="2:13" x14ac:dyDescent="0.35">
      <c r="B115" s="47"/>
      <c r="C115" s="47"/>
      <c r="D115" s="47"/>
      <c r="E115" s="47"/>
      <c r="F115" s="47"/>
      <c r="G115" s="48"/>
      <c r="H115" s="47"/>
      <c r="I115" s="47"/>
      <c r="J115" s="47"/>
      <c r="K115" s="47"/>
      <c r="L115" s="47"/>
      <c r="M115" s="47"/>
    </row>
    <row r="116" spans="2:13" x14ac:dyDescent="0.35">
      <c r="B116" s="47"/>
      <c r="C116" s="47"/>
      <c r="D116" s="47"/>
      <c r="E116" s="47"/>
      <c r="F116" s="47"/>
      <c r="G116" s="48"/>
      <c r="H116" s="47"/>
      <c r="I116" s="47"/>
      <c r="J116" s="47"/>
      <c r="K116" s="47"/>
      <c r="L116" s="47"/>
      <c r="M116" s="47"/>
    </row>
    <row r="117" spans="2:13" x14ac:dyDescent="0.35">
      <c r="B117" s="47"/>
      <c r="C117" s="47"/>
      <c r="D117" s="47"/>
      <c r="E117" s="47"/>
      <c r="F117" s="47"/>
      <c r="G117" s="48"/>
      <c r="H117" s="47"/>
      <c r="I117" s="47"/>
      <c r="J117" s="47"/>
      <c r="K117" s="47"/>
      <c r="L117" s="47"/>
      <c r="M117" s="47"/>
    </row>
    <row r="118" spans="2:13" x14ac:dyDescent="0.35">
      <c r="B118" s="47"/>
      <c r="C118" s="47"/>
      <c r="D118" s="47"/>
      <c r="E118" s="47"/>
      <c r="F118" s="47"/>
      <c r="G118" s="48"/>
      <c r="H118" s="47"/>
      <c r="I118" s="47"/>
      <c r="J118" s="47"/>
      <c r="K118" s="47"/>
      <c r="L118" s="47"/>
      <c r="M118" s="47"/>
    </row>
    <row r="119" spans="2:13" x14ac:dyDescent="0.35">
      <c r="B119" s="47"/>
      <c r="C119" s="47"/>
      <c r="D119" s="47"/>
      <c r="E119" s="47"/>
      <c r="F119" s="47"/>
      <c r="G119" s="48"/>
      <c r="H119" s="47"/>
      <c r="I119" s="47"/>
      <c r="J119" s="47"/>
      <c r="K119" s="47"/>
      <c r="L119" s="47"/>
      <c r="M119" s="47"/>
    </row>
    <row r="120" spans="2:13" x14ac:dyDescent="0.35">
      <c r="B120" s="47"/>
      <c r="C120" s="47"/>
      <c r="D120" s="47"/>
      <c r="E120" s="47"/>
      <c r="F120" s="47"/>
      <c r="G120" s="48"/>
      <c r="H120" s="47"/>
      <c r="I120" s="47"/>
      <c r="J120" s="47"/>
      <c r="K120" s="47"/>
      <c r="L120" s="47"/>
      <c r="M120" s="47"/>
    </row>
    <row r="121" spans="2:13" x14ac:dyDescent="0.35">
      <c r="B121" s="47"/>
      <c r="C121" s="47"/>
      <c r="D121" s="47"/>
      <c r="E121" s="47"/>
      <c r="F121" s="47"/>
      <c r="G121" s="48"/>
      <c r="H121" s="47"/>
      <c r="I121" s="47"/>
      <c r="J121" s="47"/>
      <c r="K121" s="47"/>
      <c r="L121" s="47"/>
      <c r="M121" s="47"/>
    </row>
    <row r="122" spans="2:13" x14ac:dyDescent="0.35">
      <c r="B122" s="47"/>
      <c r="C122" s="47"/>
      <c r="D122" s="47"/>
      <c r="E122" s="47"/>
      <c r="F122" s="47"/>
      <c r="G122" s="48"/>
      <c r="H122" s="47"/>
      <c r="I122" s="47"/>
      <c r="J122" s="47"/>
      <c r="K122" s="47"/>
      <c r="L122" s="47"/>
      <c r="M122" s="47"/>
    </row>
    <row r="123" spans="2:13" x14ac:dyDescent="0.35">
      <c r="B123" s="47"/>
      <c r="C123" s="47"/>
      <c r="D123" s="47"/>
      <c r="E123" s="47"/>
      <c r="F123" s="47"/>
      <c r="G123" s="48"/>
      <c r="H123" s="47"/>
      <c r="I123" s="47"/>
      <c r="J123" s="47"/>
      <c r="K123" s="47"/>
      <c r="L123" s="47"/>
      <c r="M123" s="47"/>
    </row>
    <row r="124" spans="2:13" x14ac:dyDescent="0.35">
      <c r="B124" s="47"/>
      <c r="C124" s="47"/>
      <c r="D124" s="47"/>
      <c r="E124" s="47"/>
      <c r="F124" s="47"/>
      <c r="G124" s="48"/>
      <c r="H124" s="47"/>
      <c r="I124" s="47"/>
      <c r="J124" s="47"/>
      <c r="K124" s="47"/>
      <c r="L124" s="47"/>
      <c r="M124" s="47"/>
    </row>
    <row r="125" spans="2:13" x14ac:dyDescent="0.35">
      <c r="B125" s="47"/>
      <c r="C125" s="47"/>
      <c r="D125" s="47"/>
      <c r="E125" s="47"/>
      <c r="F125" s="47"/>
      <c r="G125" s="48"/>
      <c r="H125" s="47"/>
      <c r="I125" s="47"/>
      <c r="J125" s="47"/>
      <c r="K125" s="47"/>
      <c r="L125" s="47"/>
      <c r="M125" s="47"/>
    </row>
    <row r="126" spans="2:13" x14ac:dyDescent="0.35">
      <c r="B126" s="47"/>
      <c r="C126" s="47"/>
      <c r="D126" s="47"/>
      <c r="E126" s="47"/>
      <c r="F126" s="47"/>
      <c r="G126" s="48"/>
      <c r="H126" s="47"/>
      <c r="I126" s="47"/>
      <c r="J126" s="47"/>
      <c r="K126" s="47"/>
      <c r="L126" s="47"/>
      <c r="M126" s="47"/>
    </row>
    <row r="127" spans="2:13" x14ac:dyDescent="0.35">
      <c r="B127" s="47"/>
      <c r="C127" s="47"/>
      <c r="D127" s="47"/>
      <c r="E127" s="47"/>
      <c r="F127" s="47"/>
      <c r="G127" s="48"/>
      <c r="H127" s="47"/>
      <c r="I127" s="47"/>
      <c r="J127" s="47"/>
      <c r="K127" s="47"/>
      <c r="L127" s="47"/>
      <c r="M127" s="47"/>
    </row>
    <row r="128" spans="2:13" x14ac:dyDescent="0.35">
      <c r="B128" s="47"/>
      <c r="C128" s="47"/>
      <c r="D128" s="47"/>
      <c r="E128" s="47"/>
      <c r="F128" s="47"/>
      <c r="G128" s="48"/>
      <c r="H128" s="47"/>
      <c r="I128" s="47"/>
      <c r="J128" s="47"/>
      <c r="K128" s="47"/>
      <c r="L128" s="47"/>
      <c r="M128" s="47"/>
    </row>
    <row r="129" spans="2:13" x14ac:dyDescent="0.35">
      <c r="B129" s="47"/>
      <c r="C129" s="47"/>
      <c r="D129" s="47"/>
      <c r="E129" s="47"/>
      <c r="F129" s="47"/>
      <c r="G129" s="48"/>
      <c r="H129" s="47"/>
      <c r="I129" s="47"/>
      <c r="J129" s="47"/>
      <c r="K129" s="47"/>
      <c r="L129" s="47"/>
      <c r="M129" s="47"/>
    </row>
    <row r="130" spans="2:13" x14ac:dyDescent="0.35">
      <c r="B130" s="47"/>
      <c r="C130" s="47"/>
      <c r="D130" s="47"/>
      <c r="E130" s="47"/>
      <c r="F130" s="47"/>
      <c r="G130" s="48"/>
      <c r="H130" s="47"/>
      <c r="I130" s="47"/>
      <c r="J130" s="47"/>
      <c r="K130" s="47"/>
      <c r="L130" s="47"/>
      <c r="M130" s="47"/>
    </row>
    <row r="131" spans="2:13" x14ac:dyDescent="0.35">
      <c r="B131" s="47"/>
      <c r="C131" s="47"/>
      <c r="D131" s="47"/>
      <c r="E131" s="47"/>
      <c r="F131" s="47"/>
      <c r="G131" s="48"/>
      <c r="H131" s="47"/>
      <c r="I131" s="47"/>
      <c r="J131" s="47"/>
      <c r="K131" s="47"/>
      <c r="L131" s="47"/>
      <c r="M131" s="47"/>
    </row>
    <row r="132" spans="2:13" x14ac:dyDescent="0.35">
      <c r="B132" s="47"/>
      <c r="C132" s="47"/>
      <c r="D132" s="47"/>
      <c r="E132" s="47"/>
      <c r="F132" s="47"/>
      <c r="G132" s="48"/>
      <c r="H132" s="47"/>
      <c r="I132" s="47"/>
      <c r="J132" s="47"/>
      <c r="K132" s="47"/>
      <c r="L132" s="47"/>
      <c r="M132" s="47"/>
    </row>
    <row r="133" spans="2:13" x14ac:dyDescent="0.35">
      <c r="B133" s="47"/>
      <c r="C133" s="47"/>
      <c r="D133" s="47"/>
      <c r="E133" s="47"/>
      <c r="F133" s="47"/>
      <c r="G133" s="48"/>
      <c r="H133" s="47"/>
      <c r="I133" s="47"/>
      <c r="J133" s="47"/>
      <c r="K133" s="47"/>
      <c r="L133" s="47"/>
      <c r="M133" s="47"/>
    </row>
    <row r="134" spans="2:13" x14ac:dyDescent="0.35">
      <c r="B134" s="47"/>
      <c r="C134" s="47"/>
      <c r="D134" s="47"/>
      <c r="E134" s="47"/>
      <c r="F134" s="47"/>
      <c r="G134" s="48"/>
      <c r="H134" s="47"/>
      <c r="I134" s="47"/>
      <c r="J134" s="47"/>
      <c r="K134" s="47"/>
      <c r="L134" s="47"/>
      <c r="M134" s="47"/>
    </row>
    <row r="135" spans="2:13" x14ac:dyDescent="0.35">
      <c r="B135" s="47"/>
      <c r="C135" s="47"/>
      <c r="D135" s="47"/>
      <c r="E135" s="47"/>
      <c r="F135" s="47"/>
      <c r="G135" s="48"/>
      <c r="H135" s="47"/>
      <c r="I135" s="47"/>
      <c r="J135" s="47"/>
      <c r="K135" s="47"/>
      <c r="L135" s="47"/>
      <c r="M135" s="47"/>
    </row>
    <row r="136" spans="2:13" x14ac:dyDescent="0.35">
      <c r="B136" s="47"/>
      <c r="C136" s="47"/>
      <c r="D136" s="47"/>
      <c r="E136" s="47"/>
      <c r="F136" s="47"/>
      <c r="G136" s="48"/>
      <c r="H136" s="47"/>
      <c r="I136" s="47"/>
      <c r="J136" s="47"/>
      <c r="K136" s="47"/>
      <c r="L136" s="47"/>
      <c r="M136" s="47"/>
    </row>
    <row r="137" spans="2:13" x14ac:dyDescent="0.35">
      <c r="B137" s="47"/>
      <c r="C137" s="47"/>
      <c r="D137" s="47"/>
      <c r="E137" s="47"/>
      <c r="F137" s="47"/>
      <c r="G137" s="48"/>
      <c r="H137" s="47"/>
      <c r="I137" s="47"/>
      <c r="J137" s="47"/>
      <c r="K137" s="47"/>
      <c r="L137" s="47"/>
      <c r="M137" s="47"/>
    </row>
    <row r="138" spans="2:13" x14ac:dyDescent="0.35">
      <c r="B138" s="47"/>
      <c r="C138" s="47"/>
      <c r="D138" s="47"/>
      <c r="E138" s="47"/>
      <c r="F138" s="47"/>
      <c r="G138" s="48"/>
      <c r="H138" s="47"/>
      <c r="I138" s="47"/>
      <c r="J138" s="47"/>
      <c r="K138" s="47"/>
      <c r="L138" s="47"/>
      <c r="M138" s="47"/>
    </row>
    <row r="139" spans="2:13" x14ac:dyDescent="0.35">
      <c r="B139" s="47"/>
      <c r="C139" s="47"/>
      <c r="D139" s="47"/>
      <c r="E139" s="47"/>
      <c r="F139" s="47"/>
      <c r="G139" s="48"/>
      <c r="H139" s="47"/>
      <c r="I139" s="47"/>
      <c r="J139" s="47"/>
      <c r="K139" s="47"/>
      <c r="L139" s="47"/>
      <c r="M139" s="47"/>
    </row>
    <row r="140" spans="2:13" x14ac:dyDescent="0.35">
      <c r="B140" s="47"/>
      <c r="C140" s="47"/>
      <c r="D140" s="47"/>
      <c r="E140" s="47"/>
      <c r="F140" s="47"/>
      <c r="G140" s="48"/>
      <c r="H140" s="47"/>
      <c r="I140" s="47"/>
      <c r="J140" s="47"/>
      <c r="K140" s="47"/>
      <c r="L140" s="47"/>
      <c r="M140" s="47"/>
    </row>
    <row r="141" spans="2:13" x14ac:dyDescent="0.35">
      <c r="B141" s="47"/>
      <c r="C141" s="47"/>
      <c r="D141" s="47"/>
      <c r="E141" s="47"/>
      <c r="F141" s="47"/>
      <c r="G141" s="48"/>
      <c r="H141" s="47"/>
      <c r="I141" s="47"/>
      <c r="J141" s="47"/>
      <c r="K141" s="47"/>
      <c r="L141" s="47"/>
      <c r="M141" s="47"/>
    </row>
    <row r="142" spans="2:13" x14ac:dyDescent="0.35">
      <c r="B142" s="47"/>
      <c r="C142" s="47"/>
      <c r="D142" s="47"/>
      <c r="E142" s="47"/>
      <c r="F142" s="47"/>
      <c r="G142" s="48"/>
      <c r="H142" s="47"/>
      <c r="I142" s="47"/>
      <c r="J142" s="47"/>
      <c r="K142" s="47"/>
      <c r="L142" s="47"/>
      <c r="M142" s="47"/>
    </row>
    <row r="143" spans="2:13" x14ac:dyDescent="0.35">
      <c r="B143" s="47"/>
      <c r="C143" s="47"/>
      <c r="D143" s="47"/>
      <c r="E143" s="47"/>
      <c r="F143" s="47"/>
      <c r="G143" s="48"/>
      <c r="H143" s="47"/>
      <c r="I143" s="47"/>
      <c r="J143" s="47"/>
      <c r="K143" s="47"/>
      <c r="L143" s="47"/>
      <c r="M143" s="47"/>
    </row>
    <row r="144" spans="2:13" x14ac:dyDescent="0.35">
      <c r="B144" s="47"/>
      <c r="C144" s="47"/>
      <c r="D144" s="47"/>
      <c r="E144" s="47"/>
      <c r="F144" s="47"/>
      <c r="G144" s="48"/>
      <c r="H144" s="47"/>
      <c r="I144" s="47"/>
      <c r="J144" s="47"/>
      <c r="K144" s="47"/>
      <c r="L144" s="47"/>
      <c r="M144" s="47"/>
    </row>
    <row r="145" spans="2:13" x14ac:dyDescent="0.35">
      <c r="B145" s="47"/>
      <c r="C145" s="47"/>
      <c r="D145" s="47"/>
      <c r="E145" s="47"/>
      <c r="F145" s="47"/>
      <c r="G145" s="48"/>
      <c r="H145" s="47"/>
      <c r="I145" s="47"/>
      <c r="J145" s="47"/>
      <c r="K145" s="47"/>
      <c r="L145" s="47"/>
      <c r="M145" s="47"/>
    </row>
    <row r="146" spans="2:13" x14ac:dyDescent="0.35">
      <c r="B146" s="47"/>
      <c r="C146" s="47"/>
      <c r="D146" s="47"/>
      <c r="E146" s="47"/>
      <c r="F146" s="47"/>
      <c r="G146" s="48"/>
      <c r="H146" s="47"/>
      <c r="I146" s="47"/>
      <c r="J146" s="47"/>
      <c r="K146" s="47"/>
      <c r="L146" s="47"/>
      <c r="M146" s="47"/>
    </row>
    <row r="147" spans="2:13" x14ac:dyDescent="0.35">
      <c r="B147" s="47"/>
      <c r="C147" s="47"/>
      <c r="D147" s="47"/>
      <c r="E147" s="47"/>
      <c r="F147" s="47"/>
      <c r="G147" s="48"/>
      <c r="H147" s="47"/>
      <c r="I147" s="47"/>
      <c r="J147" s="47"/>
      <c r="K147" s="47"/>
      <c r="L147" s="47"/>
      <c r="M147" s="47"/>
    </row>
    <row r="148" spans="2:13" x14ac:dyDescent="0.35">
      <c r="B148" s="47"/>
      <c r="C148" s="47"/>
      <c r="D148" s="47"/>
      <c r="E148" s="47"/>
      <c r="F148" s="47"/>
      <c r="G148" s="48"/>
      <c r="H148" s="47"/>
      <c r="I148" s="47"/>
      <c r="J148" s="47"/>
      <c r="K148" s="47"/>
      <c r="L148" s="47"/>
      <c r="M148" s="47"/>
    </row>
    <row r="149" spans="2:13" x14ac:dyDescent="0.35">
      <c r="B149" s="47"/>
      <c r="C149" s="47"/>
      <c r="D149" s="47"/>
      <c r="E149" s="47"/>
      <c r="F149" s="47"/>
      <c r="G149" s="48"/>
      <c r="H149" s="47"/>
      <c r="I149" s="47"/>
      <c r="J149" s="47"/>
      <c r="K149" s="47"/>
      <c r="L149" s="47"/>
      <c r="M149" s="47"/>
    </row>
    <row r="150" spans="2:13" x14ac:dyDescent="0.35">
      <c r="B150" s="47"/>
      <c r="C150" s="47"/>
      <c r="D150" s="47"/>
      <c r="E150" s="47"/>
      <c r="F150" s="47"/>
      <c r="G150" s="48"/>
      <c r="H150" s="47"/>
      <c r="I150" s="47"/>
      <c r="J150" s="47"/>
      <c r="K150" s="47"/>
      <c r="L150" s="47"/>
      <c r="M150" s="47"/>
    </row>
    <row r="151" spans="2:13" x14ac:dyDescent="0.35">
      <c r="B151" s="47"/>
      <c r="C151" s="47"/>
      <c r="D151" s="47"/>
      <c r="E151" s="47"/>
      <c r="F151" s="47"/>
      <c r="G151" s="48"/>
      <c r="H151" s="47"/>
      <c r="I151" s="47"/>
      <c r="J151" s="47"/>
      <c r="K151" s="47"/>
      <c r="L151" s="47"/>
      <c r="M151" s="47"/>
    </row>
    <row r="152" spans="2:13" x14ac:dyDescent="0.35">
      <c r="B152" s="47"/>
      <c r="C152" s="47"/>
      <c r="D152" s="47"/>
      <c r="E152" s="47"/>
      <c r="F152" s="47"/>
      <c r="G152" s="48"/>
      <c r="H152" s="47"/>
      <c r="I152" s="47"/>
      <c r="J152" s="47"/>
      <c r="K152" s="47"/>
      <c r="L152" s="47"/>
      <c r="M152" s="47"/>
    </row>
    <row r="153" spans="2:13" x14ac:dyDescent="0.35">
      <c r="B153" s="47"/>
      <c r="C153" s="47"/>
      <c r="D153" s="47"/>
      <c r="E153" s="47"/>
      <c r="F153" s="47"/>
      <c r="G153" s="48"/>
      <c r="H153" s="47"/>
      <c r="I153" s="47"/>
      <c r="J153" s="47"/>
      <c r="K153" s="47"/>
      <c r="L153" s="47"/>
      <c r="M153" s="47"/>
    </row>
    <row r="154" spans="2:13" x14ac:dyDescent="0.35">
      <c r="B154" s="47"/>
      <c r="C154" s="47"/>
      <c r="D154" s="47"/>
      <c r="E154" s="47"/>
      <c r="F154" s="47"/>
      <c r="G154" s="48"/>
      <c r="H154" s="47"/>
      <c r="I154" s="47"/>
      <c r="J154" s="47"/>
      <c r="K154" s="47"/>
      <c r="L154" s="47"/>
      <c r="M154" s="47"/>
    </row>
    <row r="155" spans="2:13" x14ac:dyDescent="0.35">
      <c r="B155" s="47"/>
      <c r="C155" s="47"/>
      <c r="D155" s="47"/>
      <c r="E155" s="47"/>
      <c r="F155" s="47"/>
      <c r="G155" s="48"/>
      <c r="H155" s="47"/>
      <c r="I155" s="47"/>
      <c r="J155" s="47"/>
      <c r="K155" s="47"/>
      <c r="L155" s="47"/>
      <c r="M155" s="47"/>
    </row>
    <row r="156" spans="2:13" x14ac:dyDescent="0.35">
      <c r="B156" s="47"/>
      <c r="C156" s="47"/>
      <c r="D156" s="47"/>
      <c r="E156" s="47"/>
      <c r="F156" s="47"/>
      <c r="G156" s="48"/>
      <c r="H156" s="47"/>
      <c r="I156" s="47"/>
      <c r="J156" s="47"/>
      <c r="K156" s="47"/>
      <c r="L156" s="47"/>
      <c r="M156" s="47"/>
    </row>
    <row r="157" spans="2:13" x14ac:dyDescent="0.35">
      <c r="B157" s="47"/>
      <c r="C157" s="47"/>
      <c r="D157" s="47"/>
      <c r="E157" s="47"/>
      <c r="F157" s="47"/>
      <c r="G157" s="48"/>
      <c r="H157" s="47"/>
      <c r="I157" s="47"/>
      <c r="J157" s="47"/>
      <c r="K157" s="47"/>
      <c r="L157" s="47"/>
      <c r="M157" s="47"/>
    </row>
    <row r="158" spans="2:13" x14ac:dyDescent="0.35">
      <c r="B158" s="47"/>
      <c r="C158" s="47"/>
      <c r="D158" s="47"/>
      <c r="E158" s="47"/>
      <c r="F158" s="47"/>
      <c r="G158" s="48"/>
      <c r="H158" s="47"/>
      <c r="I158" s="47"/>
      <c r="J158" s="47"/>
      <c r="K158" s="47"/>
      <c r="L158" s="47"/>
      <c r="M158" s="47"/>
    </row>
    <row r="159" spans="2:13" x14ac:dyDescent="0.35">
      <c r="B159" s="47"/>
      <c r="C159" s="47"/>
      <c r="D159" s="47"/>
      <c r="E159" s="47"/>
      <c r="F159" s="47"/>
      <c r="G159" s="48"/>
      <c r="H159" s="47"/>
      <c r="I159" s="47"/>
      <c r="J159" s="47"/>
      <c r="K159" s="47"/>
      <c r="L159" s="47"/>
      <c r="M159" s="47"/>
    </row>
    <row r="160" spans="2:13" x14ac:dyDescent="0.35">
      <c r="B160" s="47"/>
      <c r="C160" s="47"/>
      <c r="D160" s="47"/>
      <c r="E160" s="47"/>
      <c r="F160" s="47"/>
      <c r="G160" s="48"/>
      <c r="H160" s="47"/>
      <c r="I160" s="47"/>
      <c r="J160" s="47"/>
      <c r="K160" s="47"/>
      <c r="L160" s="47"/>
      <c r="M160" s="47"/>
    </row>
    <row r="161" spans="2:13" x14ac:dyDescent="0.35">
      <c r="B161" s="47"/>
      <c r="C161" s="47"/>
      <c r="D161" s="47"/>
      <c r="E161" s="47"/>
      <c r="F161" s="47"/>
      <c r="G161" s="48"/>
      <c r="H161" s="47"/>
      <c r="I161" s="47"/>
      <c r="J161" s="47"/>
      <c r="K161" s="47"/>
      <c r="L161" s="47"/>
      <c r="M161" s="47"/>
    </row>
    <row r="162" spans="2:13" x14ac:dyDescent="0.35">
      <c r="B162" s="47"/>
      <c r="C162" s="47"/>
      <c r="D162" s="47"/>
      <c r="E162" s="47"/>
      <c r="F162" s="47"/>
      <c r="G162" s="48"/>
      <c r="H162" s="47"/>
      <c r="I162" s="47"/>
      <c r="J162" s="47"/>
      <c r="K162" s="47"/>
      <c r="L162" s="47"/>
      <c r="M162" s="47"/>
    </row>
    <row r="163" spans="2:13" x14ac:dyDescent="0.35">
      <c r="B163" s="47"/>
      <c r="C163" s="47"/>
      <c r="D163" s="47"/>
      <c r="E163" s="47"/>
      <c r="F163" s="47"/>
      <c r="G163" s="48"/>
      <c r="H163" s="47"/>
      <c r="I163" s="47"/>
      <c r="J163" s="47"/>
      <c r="K163" s="47"/>
      <c r="L163" s="47"/>
      <c r="M163" s="47"/>
    </row>
    <row r="164" spans="2:13" x14ac:dyDescent="0.35">
      <c r="B164" s="47"/>
      <c r="C164" s="47"/>
      <c r="D164" s="47"/>
      <c r="E164" s="47"/>
      <c r="F164" s="47"/>
      <c r="G164" s="48"/>
      <c r="H164" s="47"/>
      <c r="I164" s="47"/>
      <c r="J164" s="47"/>
      <c r="K164" s="47"/>
      <c r="L164" s="47"/>
      <c r="M164" s="47"/>
    </row>
    <row r="165" spans="2:13" x14ac:dyDescent="0.35">
      <c r="B165" s="47"/>
      <c r="C165" s="47"/>
      <c r="D165" s="47"/>
      <c r="E165" s="47"/>
      <c r="F165" s="47"/>
      <c r="G165" s="48"/>
      <c r="H165" s="47"/>
      <c r="I165" s="47"/>
      <c r="J165" s="47"/>
      <c r="K165" s="47"/>
      <c r="L165" s="47"/>
      <c r="M165" s="47"/>
    </row>
    <row r="166" spans="2:13" x14ac:dyDescent="0.35">
      <c r="B166" s="47"/>
      <c r="C166" s="47"/>
      <c r="D166" s="47"/>
      <c r="E166" s="47"/>
      <c r="F166" s="47"/>
      <c r="G166" s="48"/>
      <c r="H166" s="47"/>
      <c r="I166" s="47"/>
      <c r="J166" s="47"/>
      <c r="K166" s="47"/>
      <c r="L166" s="47"/>
      <c r="M166" s="47"/>
    </row>
    <row r="167" spans="2:13" x14ac:dyDescent="0.35">
      <c r="B167" s="47"/>
      <c r="C167" s="47"/>
      <c r="D167" s="47"/>
      <c r="E167" s="47"/>
      <c r="F167" s="47"/>
      <c r="G167" s="48"/>
      <c r="H167" s="47"/>
      <c r="I167" s="47"/>
      <c r="J167" s="47"/>
      <c r="K167" s="47"/>
      <c r="L167" s="47"/>
      <c r="M167" s="47"/>
    </row>
    <row r="168" spans="2:13" x14ac:dyDescent="0.35">
      <c r="B168" s="47"/>
      <c r="C168" s="47"/>
      <c r="D168" s="47"/>
      <c r="E168" s="47"/>
      <c r="F168" s="47"/>
      <c r="G168" s="48"/>
      <c r="H168" s="47"/>
      <c r="I168" s="47"/>
      <c r="J168" s="47"/>
      <c r="K168" s="47"/>
      <c r="L168" s="47"/>
      <c r="M168" s="47"/>
    </row>
    <row r="169" spans="2:13" x14ac:dyDescent="0.35">
      <c r="B169" s="47"/>
      <c r="C169" s="47"/>
      <c r="D169" s="47"/>
      <c r="E169" s="47"/>
      <c r="F169" s="47"/>
      <c r="G169" s="48"/>
      <c r="H169" s="47"/>
      <c r="I169" s="47"/>
      <c r="J169" s="47"/>
      <c r="K169" s="47"/>
      <c r="L169" s="47"/>
      <c r="M169" s="47"/>
    </row>
    <row r="170" spans="2:13" x14ac:dyDescent="0.35">
      <c r="B170" s="47"/>
      <c r="C170" s="47"/>
      <c r="D170" s="47"/>
      <c r="E170" s="47"/>
      <c r="F170" s="47"/>
      <c r="G170" s="48"/>
      <c r="H170" s="47"/>
      <c r="I170" s="47"/>
      <c r="J170" s="47"/>
      <c r="K170" s="47"/>
      <c r="L170" s="47"/>
      <c r="M170" s="47"/>
    </row>
    <row r="171" spans="2:13" x14ac:dyDescent="0.35">
      <c r="B171" s="47"/>
      <c r="C171" s="47"/>
      <c r="D171" s="47"/>
      <c r="E171" s="47"/>
      <c r="F171" s="47"/>
      <c r="G171" s="48"/>
      <c r="H171" s="47"/>
      <c r="I171" s="47"/>
      <c r="J171" s="47"/>
      <c r="K171" s="47"/>
      <c r="L171" s="47"/>
      <c r="M171" s="47"/>
    </row>
    <row r="172" spans="2:13" x14ac:dyDescent="0.35">
      <c r="B172" s="47"/>
      <c r="C172" s="47"/>
      <c r="D172" s="47"/>
      <c r="E172" s="47"/>
      <c r="F172" s="47"/>
      <c r="G172" s="48"/>
      <c r="H172" s="47"/>
      <c r="I172" s="47"/>
      <c r="J172" s="47"/>
      <c r="K172" s="47"/>
      <c r="L172" s="47"/>
      <c r="M172" s="47"/>
    </row>
    <row r="173" spans="2:13" x14ac:dyDescent="0.35">
      <c r="B173" s="47"/>
      <c r="C173" s="47"/>
      <c r="D173" s="47"/>
      <c r="E173" s="47"/>
      <c r="F173" s="47"/>
      <c r="G173" s="48"/>
      <c r="H173" s="47"/>
      <c r="I173" s="47"/>
      <c r="J173" s="47"/>
      <c r="K173" s="47"/>
      <c r="L173" s="47"/>
      <c r="M173" s="47"/>
    </row>
    <row r="174" spans="2:13" x14ac:dyDescent="0.35">
      <c r="B174" s="47"/>
      <c r="C174" s="47"/>
      <c r="D174" s="47"/>
      <c r="E174" s="47"/>
      <c r="F174" s="47"/>
      <c r="G174" s="48"/>
      <c r="H174" s="47"/>
      <c r="I174" s="47"/>
      <c r="J174" s="47"/>
      <c r="K174" s="47"/>
      <c r="L174" s="47"/>
      <c r="M174" s="47"/>
    </row>
    <row r="175" spans="2:13" x14ac:dyDescent="0.35">
      <c r="B175" s="47"/>
      <c r="C175" s="47"/>
      <c r="D175" s="47"/>
      <c r="E175" s="47"/>
      <c r="F175" s="47"/>
      <c r="G175" s="48"/>
      <c r="H175" s="47"/>
      <c r="I175" s="47"/>
      <c r="J175" s="47"/>
      <c r="K175" s="47"/>
      <c r="L175" s="47"/>
      <c r="M175" s="47"/>
    </row>
    <row r="176" spans="2:13" x14ac:dyDescent="0.35">
      <c r="B176" s="47"/>
      <c r="C176" s="47"/>
      <c r="D176" s="47"/>
      <c r="E176" s="47"/>
      <c r="F176" s="47"/>
      <c r="G176" s="48"/>
      <c r="H176" s="47"/>
      <c r="I176" s="47"/>
      <c r="J176" s="47"/>
      <c r="K176" s="47"/>
      <c r="L176" s="47"/>
      <c r="M176" s="47"/>
    </row>
    <row r="177" spans="2:13" x14ac:dyDescent="0.35">
      <c r="B177" s="47"/>
      <c r="C177" s="47"/>
      <c r="D177" s="47"/>
      <c r="E177" s="47"/>
      <c r="F177" s="47"/>
      <c r="G177" s="48"/>
      <c r="H177" s="47"/>
      <c r="I177" s="47"/>
      <c r="J177" s="47"/>
      <c r="K177" s="47"/>
      <c r="L177" s="47"/>
      <c r="M177" s="47"/>
    </row>
    <row r="178" spans="2:13" x14ac:dyDescent="0.35">
      <c r="B178" s="47"/>
      <c r="C178" s="47"/>
      <c r="D178" s="47"/>
      <c r="E178" s="47"/>
      <c r="F178" s="47"/>
      <c r="G178" s="48"/>
      <c r="H178" s="47"/>
      <c r="I178" s="47"/>
      <c r="J178" s="47"/>
      <c r="K178" s="47"/>
      <c r="L178" s="47"/>
      <c r="M178" s="47"/>
    </row>
    <row r="179" spans="2:13" x14ac:dyDescent="0.35">
      <c r="B179" s="47"/>
      <c r="C179" s="47"/>
      <c r="D179" s="47"/>
      <c r="E179" s="47"/>
      <c r="F179" s="47"/>
      <c r="G179" s="48"/>
      <c r="H179" s="47"/>
      <c r="I179" s="47"/>
      <c r="J179" s="47"/>
      <c r="K179" s="47"/>
      <c r="L179" s="47"/>
      <c r="M179" s="47"/>
    </row>
    <row r="180" spans="2:13" x14ac:dyDescent="0.35">
      <c r="B180" s="47"/>
      <c r="C180" s="47"/>
      <c r="D180" s="47"/>
      <c r="E180" s="47"/>
      <c r="F180" s="47"/>
      <c r="G180" s="48"/>
      <c r="H180" s="47"/>
      <c r="I180" s="47"/>
      <c r="J180" s="47"/>
      <c r="K180" s="47"/>
      <c r="L180" s="47"/>
      <c r="M180" s="47"/>
    </row>
    <row r="181" spans="2:13" x14ac:dyDescent="0.35">
      <c r="B181" s="47"/>
      <c r="C181" s="47"/>
      <c r="D181" s="47"/>
      <c r="E181" s="47"/>
      <c r="F181" s="47"/>
      <c r="G181" s="48"/>
      <c r="H181" s="47"/>
      <c r="I181" s="47"/>
      <c r="J181" s="47"/>
      <c r="K181" s="47"/>
      <c r="L181" s="47"/>
      <c r="M181" s="47"/>
    </row>
    <row r="182" spans="2:13" x14ac:dyDescent="0.35">
      <c r="B182" s="47"/>
      <c r="C182" s="47"/>
      <c r="D182" s="47"/>
      <c r="E182" s="47"/>
      <c r="F182" s="47"/>
      <c r="G182" s="48"/>
      <c r="H182" s="47"/>
      <c r="I182" s="47"/>
      <c r="J182" s="47"/>
      <c r="K182" s="47"/>
      <c r="L182" s="47"/>
      <c r="M182" s="47"/>
    </row>
    <row r="183" spans="2:13" x14ac:dyDescent="0.35">
      <c r="B183" s="47"/>
      <c r="C183" s="47"/>
      <c r="D183" s="47"/>
      <c r="E183" s="47"/>
      <c r="F183" s="47"/>
      <c r="G183" s="48"/>
      <c r="H183" s="47"/>
      <c r="I183" s="47"/>
      <c r="J183" s="47"/>
      <c r="K183" s="47"/>
      <c r="L183" s="47"/>
      <c r="M183" s="47"/>
    </row>
    <row r="184" spans="2:13" x14ac:dyDescent="0.35">
      <c r="B184" s="47"/>
      <c r="C184" s="47"/>
      <c r="D184" s="47"/>
      <c r="E184" s="47"/>
      <c r="F184" s="47"/>
      <c r="G184" s="48"/>
      <c r="H184" s="47"/>
      <c r="I184" s="47"/>
      <c r="J184" s="47"/>
      <c r="K184" s="47"/>
      <c r="L184" s="47"/>
      <c r="M184" s="47"/>
    </row>
    <row r="185" spans="2:13" x14ac:dyDescent="0.35">
      <c r="B185" s="47"/>
      <c r="C185" s="47"/>
      <c r="D185" s="47"/>
      <c r="E185" s="47"/>
      <c r="F185" s="47"/>
      <c r="G185" s="48"/>
      <c r="H185" s="47"/>
      <c r="I185" s="47"/>
      <c r="J185" s="47"/>
      <c r="K185" s="47"/>
      <c r="L185" s="47"/>
      <c r="M185" s="47"/>
    </row>
    <row r="186" spans="2:13" x14ac:dyDescent="0.35">
      <c r="B186" s="47"/>
      <c r="C186" s="47"/>
      <c r="D186" s="47"/>
      <c r="E186" s="47"/>
      <c r="F186" s="47"/>
      <c r="G186" s="48"/>
      <c r="H186" s="47"/>
      <c r="I186" s="47"/>
      <c r="J186" s="47"/>
      <c r="K186" s="47"/>
      <c r="L186" s="47"/>
      <c r="M186" s="47"/>
    </row>
    <row r="187" spans="2:13" x14ac:dyDescent="0.35">
      <c r="B187" s="47"/>
      <c r="C187" s="47"/>
      <c r="D187" s="47"/>
      <c r="E187" s="47"/>
      <c r="F187" s="47"/>
      <c r="G187" s="48"/>
      <c r="H187" s="47"/>
      <c r="I187" s="47"/>
      <c r="J187" s="47"/>
      <c r="K187" s="47"/>
      <c r="L187" s="47"/>
      <c r="M187" s="47"/>
    </row>
    <row r="188" spans="2:13" x14ac:dyDescent="0.35">
      <c r="B188" s="47"/>
      <c r="C188" s="47"/>
      <c r="D188" s="47"/>
      <c r="E188" s="47"/>
      <c r="F188" s="47"/>
      <c r="G188" s="48"/>
      <c r="H188" s="47"/>
      <c r="I188" s="47"/>
      <c r="J188" s="47"/>
      <c r="K188" s="47"/>
      <c r="L188" s="47"/>
      <c r="M188" s="47"/>
    </row>
    <row r="189" spans="2:13" x14ac:dyDescent="0.35">
      <c r="B189" s="47"/>
      <c r="C189" s="47"/>
      <c r="D189" s="47"/>
      <c r="E189" s="47"/>
      <c r="F189" s="47"/>
      <c r="G189" s="48"/>
      <c r="H189" s="47"/>
      <c r="I189" s="47"/>
      <c r="J189" s="47"/>
      <c r="K189" s="47"/>
      <c r="L189" s="47"/>
      <c r="M189" s="47"/>
    </row>
    <row r="190" spans="2:13" x14ac:dyDescent="0.35">
      <c r="B190" s="47"/>
      <c r="C190" s="47"/>
      <c r="D190" s="47"/>
      <c r="E190" s="47"/>
      <c r="F190" s="47"/>
      <c r="G190" s="48"/>
      <c r="H190" s="47"/>
      <c r="I190" s="47"/>
      <c r="J190" s="47"/>
      <c r="K190" s="47"/>
      <c r="L190" s="47"/>
      <c r="M190" s="47"/>
    </row>
    <row r="191" spans="2:13" x14ac:dyDescent="0.35">
      <c r="B191" s="47"/>
      <c r="C191" s="47"/>
      <c r="D191" s="47"/>
      <c r="E191" s="47"/>
      <c r="F191" s="47"/>
      <c r="G191" s="48"/>
      <c r="H191" s="47"/>
      <c r="I191" s="47"/>
      <c r="J191" s="47"/>
      <c r="K191" s="47"/>
      <c r="L191" s="47"/>
      <c r="M191" s="47"/>
    </row>
    <row r="192" spans="2:13" x14ac:dyDescent="0.35">
      <c r="B192" s="47"/>
      <c r="C192" s="47"/>
      <c r="D192" s="47"/>
      <c r="E192" s="47"/>
      <c r="F192" s="47"/>
      <c r="G192" s="48"/>
      <c r="H192" s="47"/>
      <c r="I192" s="47"/>
      <c r="J192" s="47"/>
      <c r="K192" s="47"/>
      <c r="L192" s="47"/>
      <c r="M192" s="47"/>
    </row>
    <row r="193" spans="2:13" x14ac:dyDescent="0.35">
      <c r="B193" s="47"/>
      <c r="C193" s="47"/>
      <c r="D193" s="47"/>
      <c r="E193" s="47"/>
      <c r="F193" s="47"/>
      <c r="G193" s="48"/>
      <c r="H193" s="47"/>
      <c r="I193" s="47"/>
      <c r="J193" s="47"/>
      <c r="K193" s="47"/>
      <c r="L193" s="47"/>
      <c r="M193" s="47"/>
    </row>
    <row r="194" spans="2:13" x14ac:dyDescent="0.35">
      <c r="B194" s="47"/>
      <c r="C194" s="47"/>
      <c r="D194" s="47"/>
      <c r="E194" s="47"/>
      <c r="F194" s="47"/>
      <c r="G194" s="48"/>
      <c r="H194" s="47"/>
      <c r="I194" s="47"/>
      <c r="J194" s="47"/>
      <c r="K194" s="47"/>
      <c r="L194" s="47"/>
      <c r="M194" s="47"/>
    </row>
    <row r="195" spans="2:13" x14ac:dyDescent="0.35">
      <c r="B195" s="47"/>
      <c r="C195" s="47"/>
      <c r="D195" s="47"/>
      <c r="E195" s="47"/>
      <c r="F195" s="47"/>
      <c r="G195" s="48"/>
      <c r="H195" s="47"/>
      <c r="I195" s="47"/>
      <c r="J195" s="47"/>
      <c r="K195" s="47"/>
      <c r="L195" s="47"/>
      <c r="M195" s="47"/>
    </row>
    <row r="196" spans="2:13" x14ac:dyDescent="0.35">
      <c r="B196" s="47"/>
      <c r="C196" s="47"/>
      <c r="D196" s="47"/>
      <c r="E196" s="47"/>
      <c r="F196" s="47"/>
      <c r="G196" s="48"/>
      <c r="H196" s="47"/>
      <c r="I196" s="47"/>
      <c r="J196" s="47"/>
      <c r="K196" s="47"/>
      <c r="L196" s="47"/>
      <c r="M196" s="47"/>
    </row>
    <row r="197" spans="2:13" x14ac:dyDescent="0.35">
      <c r="B197" s="47"/>
      <c r="C197" s="47"/>
      <c r="D197" s="47"/>
      <c r="E197" s="47"/>
      <c r="F197" s="47"/>
      <c r="G197" s="48"/>
      <c r="H197" s="47"/>
      <c r="I197" s="47"/>
      <c r="J197" s="47"/>
      <c r="K197" s="47"/>
      <c r="L197" s="47"/>
      <c r="M197" s="47"/>
    </row>
    <row r="198" spans="2:13" x14ac:dyDescent="0.35">
      <c r="B198" s="47"/>
      <c r="C198" s="47"/>
      <c r="D198" s="47"/>
      <c r="E198" s="47"/>
      <c r="F198" s="47"/>
      <c r="G198" s="48"/>
      <c r="H198" s="47"/>
      <c r="I198" s="47"/>
      <c r="J198" s="47"/>
      <c r="K198" s="47"/>
      <c r="L198" s="47"/>
      <c r="M198" s="47"/>
    </row>
    <row r="199" spans="2:13" x14ac:dyDescent="0.35">
      <c r="B199" s="47"/>
      <c r="C199" s="47"/>
      <c r="D199" s="47"/>
      <c r="E199" s="47"/>
      <c r="F199" s="47"/>
      <c r="G199" s="48"/>
      <c r="H199" s="47"/>
      <c r="I199" s="47"/>
      <c r="J199" s="47"/>
      <c r="K199" s="47"/>
      <c r="L199" s="47"/>
      <c r="M199" s="47"/>
    </row>
    <row r="200" spans="2:13" x14ac:dyDescent="0.35">
      <c r="B200" s="47"/>
      <c r="C200" s="47"/>
      <c r="D200" s="47"/>
      <c r="E200" s="47"/>
      <c r="F200" s="47"/>
      <c r="G200" s="48"/>
      <c r="H200" s="47"/>
      <c r="I200" s="47"/>
      <c r="J200" s="47"/>
      <c r="K200" s="47"/>
      <c r="L200" s="47"/>
      <c r="M200" s="47"/>
    </row>
    <row r="201" spans="2:13" x14ac:dyDescent="0.35">
      <c r="B201" s="47"/>
      <c r="C201" s="47"/>
      <c r="D201" s="47"/>
      <c r="E201" s="47"/>
      <c r="F201" s="47"/>
      <c r="G201" s="48"/>
      <c r="H201" s="47"/>
      <c r="I201" s="47"/>
      <c r="J201" s="47"/>
      <c r="K201" s="47"/>
      <c r="L201" s="47"/>
      <c r="M201" s="47"/>
    </row>
    <row r="202" spans="2:13" x14ac:dyDescent="0.35">
      <c r="B202" s="47"/>
      <c r="C202" s="47"/>
      <c r="D202" s="47"/>
      <c r="E202" s="47"/>
      <c r="F202" s="47"/>
      <c r="G202" s="48"/>
      <c r="H202" s="47"/>
      <c r="I202" s="47"/>
      <c r="J202" s="47"/>
      <c r="K202" s="47"/>
      <c r="L202" s="47"/>
      <c r="M202" s="47"/>
    </row>
    <row r="203" spans="2:13" x14ac:dyDescent="0.35">
      <c r="B203" s="47"/>
      <c r="C203" s="47"/>
      <c r="D203" s="47"/>
      <c r="E203" s="47"/>
      <c r="F203" s="47"/>
      <c r="G203" s="48"/>
      <c r="H203" s="47"/>
      <c r="I203" s="47"/>
      <c r="J203" s="47"/>
      <c r="K203" s="47"/>
      <c r="L203" s="47"/>
      <c r="M203" s="47"/>
    </row>
    <row r="204" spans="2:13" x14ac:dyDescent="0.35">
      <c r="B204" s="47"/>
      <c r="C204" s="47"/>
      <c r="D204" s="47"/>
      <c r="E204" s="47"/>
      <c r="F204" s="47"/>
      <c r="G204" s="48"/>
      <c r="H204" s="47"/>
      <c r="I204" s="47"/>
      <c r="J204" s="47"/>
      <c r="K204" s="47"/>
      <c r="L204" s="47"/>
      <c r="M204" s="47"/>
    </row>
    <row r="205" spans="2:13" x14ac:dyDescent="0.35">
      <c r="B205" s="47"/>
      <c r="C205" s="47"/>
      <c r="D205" s="47"/>
      <c r="E205" s="47"/>
      <c r="F205" s="47"/>
      <c r="G205" s="48"/>
      <c r="H205" s="47"/>
      <c r="I205" s="47"/>
      <c r="J205" s="47"/>
      <c r="K205" s="47"/>
      <c r="L205" s="47"/>
      <c r="M205" s="47"/>
    </row>
    <row r="206" spans="2:13" x14ac:dyDescent="0.35">
      <c r="B206" s="47"/>
      <c r="C206" s="47"/>
      <c r="D206" s="47"/>
      <c r="E206" s="47"/>
      <c r="F206" s="47"/>
      <c r="G206" s="48"/>
      <c r="H206" s="47"/>
      <c r="I206" s="47"/>
      <c r="J206" s="47"/>
      <c r="K206" s="47"/>
      <c r="L206" s="47"/>
      <c r="M206" s="47"/>
    </row>
    <row r="207" spans="2:13" x14ac:dyDescent="0.35">
      <c r="B207" s="47"/>
      <c r="C207" s="47"/>
      <c r="D207" s="47"/>
      <c r="E207" s="47"/>
      <c r="F207" s="47"/>
      <c r="G207" s="48"/>
      <c r="H207" s="47"/>
      <c r="I207" s="47"/>
      <c r="J207" s="47"/>
      <c r="K207" s="47"/>
      <c r="L207" s="47"/>
      <c r="M207" s="47"/>
    </row>
    <row r="208" spans="2:13" x14ac:dyDescent="0.35">
      <c r="B208" s="47"/>
      <c r="C208" s="47"/>
      <c r="D208" s="47"/>
      <c r="E208" s="47"/>
      <c r="F208" s="47"/>
      <c r="G208" s="48"/>
      <c r="H208" s="47"/>
      <c r="I208" s="47"/>
      <c r="J208" s="47"/>
      <c r="K208" s="47"/>
      <c r="L208" s="47"/>
      <c r="M208" s="47"/>
    </row>
    <row r="209" spans="2:13" x14ac:dyDescent="0.35">
      <c r="B209" s="47"/>
      <c r="C209" s="47"/>
      <c r="D209" s="47"/>
      <c r="E209" s="47"/>
      <c r="F209" s="47"/>
      <c r="G209" s="48"/>
      <c r="H209" s="47"/>
      <c r="I209" s="47"/>
      <c r="J209" s="47"/>
      <c r="K209" s="47"/>
      <c r="L209" s="47"/>
      <c r="M209" s="47"/>
    </row>
    <row r="210" spans="2:13" x14ac:dyDescent="0.35">
      <c r="B210" s="47"/>
      <c r="C210" s="47"/>
      <c r="D210" s="47"/>
      <c r="E210" s="47"/>
      <c r="F210" s="47"/>
      <c r="G210" s="48"/>
      <c r="H210" s="47"/>
      <c r="I210" s="47"/>
      <c r="J210" s="47"/>
      <c r="K210" s="47"/>
      <c r="L210" s="47"/>
      <c r="M210" s="47"/>
    </row>
    <row r="211" spans="2:13" x14ac:dyDescent="0.35">
      <c r="B211" s="47"/>
      <c r="C211" s="47"/>
      <c r="D211" s="47"/>
      <c r="E211" s="47"/>
      <c r="F211" s="47"/>
      <c r="G211" s="48"/>
      <c r="H211" s="47"/>
      <c r="I211" s="47"/>
      <c r="J211" s="47"/>
      <c r="K211" s="47"/>
      <c r="L211" s="47"/>
      <c r="M211" s="47"/>
    </row>
    <row r="212" spans="2:13" x14ac:dyDescent="0.35">
      <c r="B212" s="47"/>
      <c r="C212" s="47"/>
      <c r="D212" s="47"/>
      <c r="E212" s="47"/>
      <c r="F212" s="47"/>
      <c r="G212" s="48"/>
      <c r="H212" s="47"/>
      <c r="I212" s="47"/>
      <c r="J212" s="47"/>
      <c r="K212" s="47"/>
      <c r="L212" s="47"/>
      <c r="M212" s="47"/>
    </row>
    <row r="213" spans="2:13" x14ac:dyDescent="0.35">
      <c r="B213" s="47"/>
      <c r="C213" s="47"/>
      <c r="D213" s="47"/>
      <c r="E213" s="47"/>
      <c r="F213" s="47"/>
      <c r="G213" s="48"/>
      <c r="H213" s="47"/>
      <c r="I213" s="47"/>
      <c r="J213" s="47"/>
      <c r="K213" s="47"/>
      <c r="L213" s="47"/>
      <c r="M213" s="47"/>
    </row>
    <row r="214" spans="2:13" x14ac:dyDescent="0.35">
      <c r="B214" s="47"/>
      <c r="C214" s="47"/>
      <c r="D214" s="47"/>
      <c r="E214" s="47"/>
      <c r="F214" s="47"/>
      <c r="G214" s="48"/>
      <c r="H214" s="47"/>
      <c r="I214" s="47"/>
      <c r="J214" s="47"/>
      <c r="K214" s="47"/>
      <c r="L214" s="47"/>
      <c r="M214" s="47"/>
    </row>
    <row r="215" spans="2:13" x14ac:dyDescent="0.35">
      <c r="B215" s="47"/>
      <c r="C215" s="47"/>
      <c r="D215" s="47"/>
      <c r="E215" s="47"/>
      <c r="F215" s="47"/>
      <c r="G215" s="48"/>
      <c r="H215" s="47"/>
      <c r="I215" s="47"/>
      <c r="J215" s="47"/>
      <c r="K215" s="47"/>
      <c r="L215" s="47"/>
      <c r="M215" s="47"/>
    </row>
    <row r="216" spans="2:13" x14ac:dyDescent="0.35">
      <c r="B216" s="47"/>
      <c r="C216" s="47"/>
      <c r="D216" s="47"/>
      <c r="E216" s="47"/>
      <c r="F216" s="47"/>
      <c r="G216" s="48"/>
      <c r="H216" s="47"/>
      <c r="I216" s="47"/>
      <c r="J216" s="47"/>
      <c r="K216" s="47"/>
      <c r="L216" s="47"/>
      <c r="M216" s="47"/>
    </row>
    <row r="217" spans="2:13" x14ac:dyDescent="0.35">
      <c r="B217" s="47"/>
      <c r="C217" s="47"/>
      <c r="D217" s="47"/>
      <c r="E217" s="47"/>
      <c r="F217" s="47"/>
      <c r="G217" s="48"/>
      <c r="H217" s="47"/>
      <c r="I217" s="47"/>
      <c r="J217" s="47"/>
      <c r="K217" s="47"/>
      <c r="L217" s="47"/>
      <c r="M217" s="47"/>
    </row>
    <row r="218" spans="2:13" x14ac:dyDescent="0.35">
      <c r="B218" s="47"/>
      <c r="C218" s="47"/>
      <c r="D218" s="47"/>
      <c r="E218" s="47"/>
      <c r="F218" s="47"/>
      <c r="G218" s="48"/>
      <c r="H218" s="47"/>
      <c r="I218" s="47"/>
      <c r="J218" s="47"/>
      <c r="K218" s="47"/>
      <c r="L218" s="47"/>
      <c r="M218" s="47"/>
    </row>
    <row r="219" spans="2:13" x14ac:dyDescent="0.35">
      <c r="B219" s="47"/>
      <c r="C219" s="47"/>
      <c r="D219" s="47"/>
      <c r="E219" s="47"/>
      <c r="F219" s="47"/>
      <c r="G219" s="48"/>
      <c r="H219" s="47"/>
      <c r="I219" s="47"/>
      <c r="J219" s="47"/>
      <c r="K219" s="47"/>
      <c r="L219" s="47"/>
      <c r="M219" s="47"/>
    </row>
    <row r="220" spans="2:13" x14ac:dyDescent="0.35">
      <c r="B220" s="47"/>
      <c r="C220" s="47"/>
      <c r="D220" s="47"/>
      <c r="E220" s="47"/>
      <c r="F220" s="47"/>
      <c r="G220" s="48"/>
      <c r="H220" s="47"/>
      <c r="I220" s="47"/>
      <c r="J220" s="47"/>
      <c r="K220" s="47"/>
      <c r="L220" s="47"/>
      <c r="M220" s="47"/>
    </row>
    <row r="221" spans="2:13" x14ac:dyDescent="0.35">
      <c r="B221" s="47"/>
      <c r="C221" s="47"/>
      <c r="D221" s="47"/>
      <c r="E221" s="47"/>
      <c r="F221" s="47"/>
      <c r="G221" s="48"/>
      <c r="H221" s="47"/>
      <c r="I221" s="47"/>
      <c r="J221" s="47"/>
      <c r="K221" s="47"/>
      <c r="L221" s="47"/>
      <c r="M221" s="47"/>
    </row>
    <row r="222" spans="2:13" x14ac:dyDescent="0.35">
      <c r="B222" s="47"/>
      <c r="C222" s="47"/>
      <c r="D222" s="47"/>
      <c r="E222" s="47"/>
      <c r="F222" s="47"/>
      <c r="G222" s="48"/>
      <c r="H222" s="47"/>
      <c r="I222" s="47"/>
      <c r="J222" s="47"/>
      <c r="K222" s="47"/>
      <c r="L222" s="47"/>
      <c r="M222" s="47"/>
    </row>
    <row r="223" spans="2:13" x14ac:dyDescent="0.35">
      <c r="B223" s="47"/>
      <c r="C223" s="47"/>
      <c r="D223" s="47"/>
      <c r="E223" s="47"/>
      <c r="F223" s="47"/>
      <c r="G223" s="48"/>
      <c r="H223" s="47"/>
      <c r="I223" s="47"/>
      <c r="J223" s="47"/>
      <c r="K223" s="47"/>
      <c r="L223" s="47"/>
      <c r="M223" s="47"/>
    </row>
    <row r="224" spans="2:13" x14ac:dyDescent="0.35">
      <c r="B224" s="47"/>
      <c r="C224" s="47"/>
      <c r="D224" s="47"/>
      <c r="E224" s="47"/>
      <c r="F224" s="47"/>
      <c r="G224" s="48"/>
      <c r="H224" s="47"/>
      <c r="I224" s="47"/>
      <c r="J224" s="47"/>
      <c r="K224" s="47"/>
      <c r="L224" s="47"/>
      <c r="M224" s="47"/>
    </row>
    <row r="225" spans="2:13" x14ac:dyDescent="0.35">
      <c r="B225" s="47"/>
      <c r="C225" s="47"/>
      <c r="D225" s="47"/>
      <c r="E225" s="47"/>
      <c r="F225" s="47"/>
      <c r="G225" s="48"/>
      <c r="H225" s="47"/>
      <c r="I225" s="47"/>
      <c r="J225" s="47"/>
      <c r="K225" s="47"/>
      <c r="L225" s="47"/>
      <c r="M225" s="47"/>
    </row>
    <row r="226" spans="2:13" x14ac:dyDescent="0.35">
      <c r="B226" s="47"/>
      <c r="C226" s="47"/>
      <c r="D226" s="47"/>
      <c r="E226" s="47"/>
      <c r="F226" s="47"/>
      <c r="G226" s="48"/>
      <c r="H226" s="47"/>
      <c r="I226" s="47"/>
      <c r="J226" s="47"/>
      <c r="K226" s="47"/>
      <c r="L226" s="47"/>
      <c r="M226" s="47"/>
    </row>
    <row r="227" spans="2:13" x14ac:dyDescent="0.35">
      <c r="B227" s="47"/>
      <c r="C227" s="47"/>
      <c r="D227" s="47"/>
      <c r="E227" s="47"/>
      <c r="F227" s="47"/>
      <c r="G227" s="48"/>
      <c r="H227" s="47"/>
      <c r="I227" s="47"/>
      <c r="J227" s="47"/>
      <c r="K227" s="47"/>
      <c r="L227" s="47"/>
      <c r="M227" s="47"/>
    </row>
    <row r="228" spans="2:13" x14ac:dyDescent="0.35">
      <c r="B228" s="47"/>
      <c r="C228" s="47"/>
      <c r="D228" s="47"/>
      <c r="E228" s="47"/>
      <c r="F228" s="47"/>
      <c r="G228" s="48"/>
      <c r="H228" s="47"/>
      <c r="I228" s="47"/>
      <c r="J228" s="47"/>
      <c r="K228" s="47"/>
      <c r="L228" s="47"/>
      <c r="M228" s="47"/>
    </row>
    <row r="229" spans="2:13" x14ac:dyDescent="0.35">
      <c r="B229" s="47"/>
      <c r="C229" s="47"/>
      <c r="D229" s="47"/>
      <c r="E229" s="47"/>
      <c r="F229" s="47"/>
      <c r="G229" s="48"/>
      <c r="H229" s="47"/>
      <c r="I229" s="47"/>
      <c r="J229" s="47"/>
      <c r="K229" s="47"/>
      <c r="L229" s="47"/>
      <c r="M229" s="47"/>
    </row>
    <row r="230" spans="2:13" x14ac:dyDescent="0.35">
      <c r="B230" s="47"/>
      <c r="C230" s="47"/>
      <c r="D230" s="47"/>
      <c r="E230" s="47"/>
      <c r="F230" s="47"/>
      <c r="G230" s="48"/>
      <c r="H230" s="47"/>
      <c r="I230" s="47"/>
      <c r="J230" s="47"/>
      <c r="K230" s="47"/>
      <c r="L230" s="47"/>
      <c r="M230" s="47"/>
    </row>
    <row r="231" spans="2:13" x14ac:dyDescent="0.35">
      <c r="B231" s="47"/>
      <c r="C231" s="47"/>
      <c r="D231" s="47"/>
      <c r="E231" s="47"/>
      <c r="F231" s="47"/>
      <c r="G231" s="48"/>
      <c r="H231" s="47"/>
      <c r="I231" s="47"/>
      <c r="J231" s="47"/>
      <c r="K231" s="47"/>
      <c r="L231" s="47"/>
      <c r="M231" s="47"/>
    </row>
    <row r="232" spans="2:13" x14ac:dyDescent="0.35">
      <c r="B232" s="47"/>
      <c r="C232" s="47"/>
      <c r="D232" s="47"/>
      <c r="E232" s="47"/>
      <c r="F232" s="47"/>
      <c r="G232" s="48"/>
      <c r="H232" s="47"/>
      <c r="I232" s="47"/>
      <c r="J232" s="47"/>
      <c r="K232" s="47"/>
      <c r="L232" s="47"/>
      <c r="M232" s="47"/>
    </row>
    <row r="233" spans="2:13" x14ac:dyDescent="0.35">
      <c r="B233" s="47"/>
      <c r="C233" s="47"/>
      <c r="D233" s="47"/>
      <c r="E233" s="47"/>
      <c r="F233" s="47"/>
      <c r="G233" s="48"/>
      <c r="H233" s="47"/>
      <c r="I233" s="47"/>
      <c r="J233" s="47"/>
      <c r="K233" s="47"/>
      <c r="L233" s="47"/>
      <c r="M233" s="47"/>
    </row>
    <row r="234" spans="2:13" x14ac:dyDescent="0.35">
      <c r="B234" s="47"/>
      <c r="C234" s="47"/>
      <c r="D234" s="47"/>
      <c r="E234" s="47"/>
      <c r="F234" s="47"/>
      <c r="G234" s="48"/>
      <c r="H234" s="47"/>
      <c r="I234" s="47"/>
      <c r="J234" s="47"/>
      <c r="K234" s="47"/>
      <c r="L234" s="47"/>
      <c r="M234" s="47"/>
    </row>
    <row r="235" spans="2:13" x14ac:dyDescent="0.35">
      <c r="B235" s="47"/>
      <c r="C235" s="47"/>
      <c r="D235" s="47"/>
      <c r="E235" s="47"/>
      <c r="F235" s="47"/>
      <c r="G235" s="48"/>
      <c r="H235" s="47"/>
      <c r="I235" s="47"/>
      <c r="J235" s="47"/>
      <c r="K235" s="47"/>
      <c r="L235" s="47"/>
      <c r="M235" s="47"/>
    </row>
    <row r="236" spans="2:13" x14ac:dyDescent="0.35">
      <c r="B236" s="47"/>
      <c r="C236" s="47"/>
      <c r="D236" s="47"/>
      <c r="E236" s="47"/>
      <c r="F236" s="47"/>
      <c r="G236" s="48"/>
      <c r="H236" s="47"/>
      <c r="I236" s="47"/>
      <c r="J236" s="47"/>
      <c r="K236" s="47"/>
      <c r="L236" s="47"/>
      <c r="M236" s="47"/>
    </row>
    <row r="237" spans="2:13" x14ac:dyDescent="0.35">
      <c r="B237" s="47"/>
      <c r="C237" s="47"/>
      <c r="D237" s="47"/>
      <c r="E237" s="47"/>
      <c r="F237" s="47"/>
      <c r="G237" s="48"/>
      <c r="H237" s="47"/>
      <c r="I237" s="47"/>
      <c r="J237" s="47"/>
      <c r="K237" s="47"/>
      <c r="L237" s="47"/>
      <c r="M237" s="47"/>
    </row>
    <row r="238" spans="2:13" x14ac:dyDescent="0.35">
      <c r="B238" s="47"/>
      <c r="C238" s="47"/>
      <c r="D238" s="47"/>
      <c r="E238" s="47"/>
      <c r="F238" s="47"/>
      <c r="G238" s="48"/>
      <c r="H238" s="47"/>
      <c r="I238" s="47"/>
      <c r="J238" s="47"/>
      <c r="K238" s="47"/>
      <c r="L238" s="47"/>
      <c r="M238" s="47"/>
    </row>
    <row r="239" spans="2:13" x14ac:dyDescent="0.35">
      <c r="B239" s="47"/>
      <c r="C239" s="47"/>
      <c r="D239" s="47"/>
      <c r="E239" s="47"/>
      <c r="F239" s="47"/>
      <c r="G239" s="48"/>
      <c r="H239" s="47"/>
      <c r="I239" s="47"/>
      <c r="J239" s="47"/>
      <c r="K239" s="47"/>
      <c r="L239" s="47"/>
      <c r="M239" s="47"/>
    </row>
    <row r="240" spans="2:13" x14ac:dyDescent="0.35">
      <c r="B240" s="47"/>
      <c r="C240" s="47"/>
      <c r="D240" s="47"/>
      <c r="E240" s="47"/>
      <c r="F240" s="47"/>
      <c r="G240" s="48"/>
      <c r="H240" s="47"/>
      <c r="I240" s="47"/>
    </row>
  </sheetData>
  <mergeCells count="9">
    <mergeCell ref="B12:E12"/>
    <mergeCell ref="B14:I14"/>
    <mergeCell ref="B2:I3"/>
    <mergeCell ref="B4:I4"/>
    <mergeCell ref="B42:E42"/>
    <mergeCell ref="B32:E32"/>
    <mergeCell ref="B34:I34"/>
    <mergeCell ref="B22:E22"/>
    <mergeCell ref="B24:I24"/>
  </mergeCells>
  <phoneticPr fontId="25" type="noConversion"/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95959"/>
  </sheetPr>
  <dimension ref="B2:O205"/>
  <sheetViews>
    <sheetView workbookViewId="0">
      <selection activeCell="G17" sqref="G17"/>
    </sheetView>
  </sheetViews>
  <sheetFormatPr defaultColWidth="10.08203125" defaultRowHeight="14.4" x14ac:dyDescent="0.3"/>
  <cols>
    <col min="1" max="1" width="10.08203125" style="88"/>
    <col min="2" max="2" width="3.1640625" style="88" customWidth="1"/>
    <col min="3" max="3" width="17.83203125" style="88" customWidth="1"/>
    <col min="4" max="11" width="11.08203125" style="88" customWidth="1"/>
    <col min="12" max="13" width="4.33203125" style="88" customWidth="1"/>
    <col min="14" max="16384" width="10.08203125" style="88"/>
  </cols>
  <sheetData>
    <row r="2" spans="2:15" ht="23.4" x14ac:dyDescent="0.3">
      <c r="B2" s="247" t="s">
        <v>113</v>
      </c>
      <c r="C2" s="247"/>
      <c r="D2" s="247"/>
      <c r="E2" s="247"/>
      <c r="F2" s="247"/>
      <c r="G2" s="247"/>
      <c r="H2" s="247"/>
      <c r="I2" s="247"/>
      <c r="J2" s="247"/>
      <c r="K2" s="247"/>
      <c r="L2" s="87"/>
      <c r="M2" s="87"/>
    </row>
    <row r="3" spans="2:15" ht="21" x14ac:dyDescent="0.4">
      <c r="B3" s="190"/>
      <c r="C3" s="191"/>
      <c r="D3" s="250" t="s">
        <v>23</v>
      </c>
      <c r="E3" s="250"/>
      <c r="F3" s="250" t="s">
        <v>29</v>
      </c>
      <c r="G3" s="250"/>
      <c r="H3" s="250" t="s">
        <v>30</v>
      </c>
      <c r="I3" s="250"/>
      <c r="J3" s="250" t="s">
        <v>31</v>
      </c>
      <c r="K3" s="250"/>
      <c r="L3" s="87"/>
      <c r="M3" s="87"/>
    </row>
    <row r="4" spans="2:15" ht="28.8" x14ac:dyDescent="0.3">
      <c r="B4" s="192" t="s">
        <v>1</v>
      </c>
      <c r="C4" s="192" t="s">
        <v>45</v>
      </c>
      <c r="D4" s="193" t="s">
        <v>163</v>
      </c>
      <c r="E4" s="193" t="s">
        <v>162</v>
      </c>
      <c r="F4" s="193" t="s">
        <v>163</v>
      </c>
      <c r="G4" s="193" t="s">
        <v>54</v>
      </c>
      <c r="H4" s="193" t="s">
        <v>163</v>
      </c>
      <c r="I4" s="193" t="s">
        <v>54</v>
      </c>
      <c r="J4" s="193" t="s">
        <v>163</v>
      </c>
      <c r="K4" s="193" t="s">
        <v>54</v>
      </c>
      <c r="L4" s="87"/>
      <c r="M4" s="87"/>
    </row>
    <row r="5" spans="2:15" ht="18" x14ac:dyDescent="0.3">
      <c r="B5" s="194">
        <v>1</v>
      </c>
      <c r="C5" s="195" t="s">
        <v>55</v>
      </c>
      <c r="D5" s="196">
        <f>'Start-Up Investment'!F32</f>
        <v>8000000</v>
      </c>
      <c r="E5" s="197">
        <f>D5*12</f>
        <v>96000000</v>
      </c>
      <c r="F5" s="196">
        <f>D5</f>
        <v>8000000</v>
      </c>
      <c r="G5" s="197">
        <f>F5*12</f>
        <v>96000000</v>
      </c>
      <c r="H5" s="196">
        <f>D5*110%</f>
        <v>8800000</v>
      </c>
      <c r="I5" s="197">
        <f>H5*12</f>
        <v>105600000</v>
      </c>
      <c r="J5" s="196">
        <f>F5*110%</f>
        <v>8800000</v>
      </c>
      <c r="K5" s="197">
        <f>J5*12</f>
        <v>105600000</v>
      </c>
      <c r="L5" s="89"/>
      <c r="M5" s="89"/>
      <c r="O5" s="117" t="s">
        <v>125</v>
      </c>
    </row>
    <row r="6" spans="2:15" x14ac:dyDescent="0.3">
      <c r="B6" s="194">
        <v>2</v>
      </c>
      <c r="C6" s="195" t="s">
        <v>151</v>
      </c>
      <c r="D6" s="196">
        <f>'Salary Expenses'!H12/12</f>
        <v>43141566.666666664</v>
      </c>
      <c r="E6" s="197">
        <f t="shared" ref="E6:E9" si="0">D6*12</f>
        <v>517698800</v>
      </c>
      <c r="F6" s="196">
        <f>'Salary Expenses'!H22/12</f>
        <v>54764466.666666664</v>
      </c>
      <c r="G6" s="197">
        <f t="shared" ref="G6:G9" si="1">F6*12</f>
        <v>657173600</v>
      </c>
      <c r="H6" s="196">
        <f>'Salary Expenses'!H32/12</f>
        <v>71258216.666666672</v>
      </c>
      <c r="I6" s="197">
        <f t="shared" ref="I6:I9" si="2">H6*12</f>
        <v>855098600</v>
      </c>
      <c r="J6" s="196">
        <f>'Salary Expenses'!H42/12</f>
        <v>95409866.666666672</v>
      </c>
      <c r="K6" s="197">
        <f t="shared" ref="K6:K9" si="3">J6*12</f>
        <v>1144918400</v>
      </c>
      <c r="L6" s="89"/>
      <c r="M6" s="89"/>
    </row>
    <row r="7" spans="2:15" x14ac:dyDescent="0.3">
      <c r="B7" s="194">
        <v>3</v>
      </c>
      <c r="C7" s="195" t="s">
        <v>110</v>
      </c>
      <c r="D7" s="198">
        <v>187500</v>
      </c>
      <c r="E7" s="197">
        <f t="shared" si="0"/>
        <v>2250000</v>
      </c>
      <c r="F7" s="196">
        <v>262500</v>
      </c>
      <c r="G7" s="197">
        <f t="shared" si="1"/>
        <v>3150000</v>
      </c>
      <c r="H7" s="196">
        <v>337500</v>
      </c>
      <c r="I7" s="197">
        <f t="shared" si="2"/>
        <v>4050000</v>
      </c>
      <c r="J7" s="196">
        <v>415500</v>
      </c>
      <c r="K7" s="197">
        <f t="shared" si="3"/>
        <v>4986000</v>
      </c>
      <c r="L7" s="89"/>
      <c r="M7" s="89"/>
      <c r="O7" s="87" t="s">
        <v>111</v>
      </c>
    </row>
    <row r="8" spans="2:15" x14ac:dyDescent="0.3">
      <c r="B8" s="194">
        <v>4</v>
      </c>
      <c r="C8" s="195" t="s">
        <v>124</v>
      </c>
      <c r="D8" s="198">
        <v>120900</v>
      </c>
      <c r="E8" s="197">
        <f t="shared" si="0"/>
        <v>1450800</v>
      </c>
      <c r="F8" s="196">
        <v>150900</v>
      </c>
      <c r="G8" s="197">
        <f t="shared" si="1"/>
        <v>1810800</v>
      </c>
      <c r="H8" s="196">
        <v>226900</v>
      </c>
      <c r="I8" s="197">
        <f t="shared" si="2"/>
        <v>2722800</v>
      </c>
      <c r="J8" s="198">
        <v>453900</v>
      </c>
      <c r="K8" s="197">
        <f t="shared" si="3"/>
        <v>5446800</v>
      </c>
      <c r="L8" s="89"/>
      <c r="M8" s="89"/>
      <c r="O8" s="87" t="s">
        <v>112</v>
      </c>
    </row>
    <row r="9" spans="2:15" x14ac:dyDescent="0.3">
      <c r="B9" s="194">
        <v>5</v>
      </c>
      <c r="C9" s="195" t="s">
        <v>58</v>
      </c>
      <c r="D9" s="116">
        <v>1500000</v>
      </c>
      <c r="E9" s="197">
        <f t="shared" si="0"/>
        <v>18000000</v>
      </c>
      <c r="F9" s="116">
        <f>D9*108%</f>
        <v>1620000</v>
      </c>
      <c r="G9" s="197">
        <f t="shared" si="1"/>
        <v>19440000</v>
      </c>
      <c r="H9" s="116">
        <f>F9*105%</f>
        <v>1701000</v>
      </c>
      <c r="I9" s="197">
        <f t="shared" si="2"/>
        <v>20412000</v>
      </c>
      <c r="J9" s="116">
        <f>H9*105%</f>
        <v>1786050</v>
      </c>
      <c r="K9" s="197">
        <f t="shared" si="3"/>
        <v>21432600</v>
      </c>
      <c r="L9" s="89"/>
      <c r="M9" s="89"/>
    </row>
    <row r="10" spans="2:15" x14ac:dyDescent="0.3">
      <c r="B10" s="194">
        <v>6</v>
      </c>
      <c r="C10" s="195" t="s">
        <v>70</v>
      </c>
      <c r="D10" s="196"/>
      <c r="E10" s="196">
        <v>2000000</v>
      </c>
      <c r="F10" s="196"/>
      <c r="G10" s="196">
        <v>2000000</v>
      </c>
      <c r="H10" s="196"/>
      <c r="I10" s="196">
        <v>2000000</v>
      </c>
      <c r="J10" s="196"/>
      <c r="K10" s="196">
        <v>2000000</v>
      </c>
      <c r="L10" s="89"/>
      <c r="M10" s="89"/>
    </row>
    <row r="11" spans="2:15" x14ac:dyDescent="0.3">
      <c r="B11" s="248" t="s">
        <v>56</v>
      </c>
      <c r="C11" s="249"/>
      <c r="D11" s="199">
        <f t="shared" ref="D11:K11" si="4">SUM(D5:D10)</f>
        <v>52949966.666666664</v>
      </c>
      <c r="E11" s="199">
        <f t="shared" si="4"/>
        <v>637399600</v>
      </c>
      <c r="F11" s="199">
        <f t="shared" si="4"/>
        <v>64797866.666666664</v>
      </c>
      <c r="G11" s="199">
        <f t="shared" si="4"/>
        <v>779574400</v>
      </c>
      <c r="H11" s="199">
        <f t="shared" si="4"/>
        <v>82323616.666666672</v>
      </c>
      <c r="I11" s="199">
        <f t="shared" si="4"/>
        <v>989883400</v>
      </c>
      <c r="J11" s="199">
        <f t="shared" si="4"/>
        <v>106865316.66666667</v>
      </c>
      <c r="K11" s="199">
        <f t="shared" si="4"/>
        <v>1284383800</v>
      </c>
      <c r="L11" s="89"/>
      <c r="M11" s="89"/>
    </row>
    <row r="12" spans="2:15" x14ac:dyDescent="0.3">
      <c r="B12" s="194">
        <v>1</v>
      </c>
      <c r="C12" s="195" t="s">
        <v>93</v>
      </c>
      <c r="D12" s="196">
        <f>'Estimated Sale'!I12/12</f>
        <v>101222000</v>
      </c>
      <c r="E12" s="197">
        <f t="shared" ref="E12" si="5">D12*12</f>
        <v>1214664000</v>
      </c>
      <c r="F12" s="196">
        <f>'Estimated Sale'!I22/12</f>
        <v>125963000</v>
      </c>
      <c r="G12" s="197">
        <f>F12*12</f>
        <v>1511556000</v>
      </c>
      <c r="H12" s="196">
        <f>'Estimated Sale'!I32/12</f>
        <v>144698500</v>
      </c>
      <c r="I12" s="197">
        <f>H12*12</f>
        <v>1736382000</v>
      </c>
      <c r="J12" s="196">
        <f>'Estimated Sale'!I42/12</f>
        <v>173477500</v>
      </c>
      <c r="K12" s="197">
        <f>J12*12</f>
        <v>2081730000</v>
      </c>
      <c r="L12" s="89"/>
      <c r="M12" s="89"/>
    </row>
    <row r="13" spans="2:15" x14ac:dyDescent="0.3">
      <c r="B13" s="194">
        <v>2</v>
      </c>
      <c r="C13" s="195" t="s">
        <v>57</v>
      </c>
      <c r="D13" s="196">
        <f>'Estimated Sale'!H12*15%/12</f>
        <v>31893000</v>
      </c>
      <c r="E13" s="197">
        <f t="shared" ref="E13:E14" si="6">D13*12</f>
        <v>382716000</v>
      </c>
      <c r="F13" s="196">
        <f>'Estimated Sale'!H22*15%/12</f>
        <v>39687750</v>
      </c>
      <c r="G13" s="197">
        <f t="shared" ref="G13:G14" si="7">F13*12</f>
        <v>476253000</v>
      </c>
      <c r="H13" s="196">
        <f>'Estimated Sale'!H32*12%/12</f>
        <v>36474000</v>
      </c>
      <c r="I13" s="197">
        <f t="shared" ref="I13:I14" si="8">H13*12</f>
        <v>437688000</v>
      </c>
      <c r="J13" s="196">
        <f>'Estimated Sale'!H42*12%/12</f>
        <v>43729200</v>
      </c>
      <c r="K13" s="197">
        <f t="shared" ref="K13:K14" si="9">J13*12</f>
        <v>524750400</v>
      </c>
      <c r="L13" s="89"/>
      <c r="M13" s="89"/>
    </row>
    <row r="14" spans="2:15" x14ac:dyDescent="0.3">
      <c r="B14" s="194">
        <v>3</v>
      </c>
      <c r="C14" s="195" t="s">
        <v>59</v>
      </c>
      <c r="D14" s="116">
        <v>1200000</v>
      </c>
      <c r="E14" s="197">
        <f t="shared" si="6"/>
        <v>14400000</v>
      </c>
      <c r="F14" s="116">
        <f>D14*105%</f>
        <v>1260000</v>
      </c>
      <c r="G14" s="197">
        <f t="shared" si="7"/>
        <v>15120000</v>
      </c>
      <c r="H14" s="116">
        <f>F14*105%</f>
        <v>1323000</v>
      </c>
      <c r="I14" s="197">
        <f t="shared" si="8"/>
        <v>15876000</v>
      </c>
      <c r="J14" s="116">
        <f>H14*105%</f>
        <v>1389150</v>
      </c>
      <c r="K14" s="197">
        <f t="shared" si="9"/>
        <v>16669800</v>
      </c>
      <c r="L14" s="89"/>
      <c r="M14" s="89"/>
    </row>
    <row r="15" spans="2:15" x14ac:dyDescent="0.3">
      <c r="B15" s="248" t="s">
        <v>60</v>
      </c>
      <c r="C15" s="249"/>
      <c r="D15" s="200">
        <f t="shared" ref="D15:K15" si="10">SUM(D12:D14)</f>
        <v>134315000</v>
      </c>
      <c r="E15" s="200">
        <f t="shared" si="10"/>
        <v>1611780000</v>
      </c>
      <c r="F15" s="200">
        <f t="shared" si="10"/>
        <v>166910750</v>
      </c>
      <c r="G15" s="200">
        <f t="shared" si="10"/>
        <v>2002929000</v>
      </c>
      <c r="H15" s="200">
        <f t="shared" si="10"/>
        <v>182495500</v>
      </c>
      <c r="I15" s="200">
        <f t="shared" si="10"/>
        <v>2189946000</v>
      </c>
      <c r="J15" s="200">
        <f t="shared" si="10"/>
        <v>218595850</v>
      </c>
      <c r="K15" s="200">
        <f t="shared" si="10"/>
        <v>2623150200</v>
      </c>
      <c r="L15" s="89"/>
      <c r="M15" s="89"/>
    </row>
    <row r="16" spans="2:15" x14ac:dyDescent="0.3">
      <c r="B16" s="89"/>
      <c r="C16" s="89"/>
      <c r="D16" s="90"/>
      <c r="E16" s="90"/>
      <c r="F16" s="89"/>
      <c r="G16" s="89"/>
      <c r="H16" s="89"/>
      <c r="I16" s="89"/>
      <c r="J16" s="89"/>
      <c r="K16" s="89"/>
      <c r="L16" s="89"/>
      <c r="M16" s="89"/>
    </row>
    <row r="17" spans="2:13" x14ac:dyDescent="0.3">
      <c r="B17" s="89"/>
      <c r="C17" s="89"/>
      <c r="D17" s="90"/>
      <c r="E17" s="90"/>
      <c r="F17" s="89"/>
      <c r="G17" s="89"/>
      <c r="H17" s="89"/>
      <c r="I17" s="89"/>
      <c r="J17" s="89"/>
      <c r="K17" s="89"/>
      <c r="L17" s="89"/>
      <c r="M17" s="89"/>
    </row>
    <row r="18" spans="2:13" x14ac:dyDescent="0.3">
      <c r="B18" s="89"/>
      <c r="C18" s="89"/>
      <c r="D18" s="90"/>
      <c r="E18" s="90"/>
      <c r="F18" s="89"/>
      <c r="G18" s="89"/>
      <c r="H18" s="89"/>
      <c r="I18" s="89"/>
      <c r="J18" s="89"/>
      <c r="K18" s="89"/>
      <c r="L18" s="89"/>
      <c r="M18" s="89"/>
    </row>
    <row r="19" spans="2:13" x14ac:dyDescent="0.3">
      <c r="B19" s="89"/>
      <c r="C19" s="89"/>
      <c r="D19" s="90"/>
      <c r="E19" s="90"/>
      <c r="F19" s="89"/>
      <c r="G19" s="89"/>
      <c r="H19" s="89"/>
      <c r="I19" s="89"/>
      <c r="J19" s="89"/>
      <c r="K19" s="89"/>
      <c r="L19" s="89"/>
      <c r="M19" s="89"/>
    </row>
    <row r="20" spans="2:13" x14ac:dyDescent="0.3">
      <c r="B20" s="89"/>
      <c r="C20" s="89"/>
      <c r="D20" s="90"/>
      <c r="E20" s="90"/>
      <c r="F20" s="89"/>
      <c r="G20" s="89"/>
      <c r="H20" s="89"/>
      <c r="I20" s="89"/>
      <c r="J20" s="89"/>
      <c r="K20" s="89"/>
      <c r="L20" s="89"/>
      <c r="M20" s="89"/>
    </row>
    <row r="21" spans="2:13" x14ac:dyDescent="0.3">
      <c r="B21" s="89"/>
      <c r="C21" s="89"/>
      <c r="D21" s="90"/>
      <c r="E21" s="90"/>
      <c r="F21" s="89"/>
      <c r="G21" s="89"/>
      <c r="H21" s="89"/>
      <c r="I21" s="89"/>
      <c r="J21" s="89"/>
      <c r="K21" s="89"/>
      <c r="L21" s="89"/>
      <c r="M21" s="89"/>
    </row>
    <row r="22" spans="2:13" x14ac:dyDescent="0.3">
      <c r="B22" s="89"/>
      <c r="C22" s="89"/>
      <c r="D22" s="90"/>
      <c r="E22" s="90"/>
      <c r="F22" s="89"/>
      <c r="G22" s="89"/>
      <c r="H22" s="89"/>
      <c r="I22" s="89"/>
      <c r="J22" s="89"/>
      <c r="K22" s="89"/>
      <c r="L22" s="89"/>
      <c r="M22" s="89"/>
    </row>
    <row r="23" spans="2:13" x14ac:dyDescent="0.3">
      <c r="B23" s="89"/>
      <c r="C23" s="89"/>
      <c r="D23" s="90"/>
      <c r="E23" s="90"/>
      <c r="F23" s="89"/>
      <c r="G23" s="89"/>
      <c r="H23" s="89"/>
      <c r="I23" s="89"/>
      <c r="J23" s="89"/>
      <c r="K23" s="89"/>
      <c r="L23" s="89"/>
      <c r="M23" s="89"/>
    </row>
    <row r="24" spans="2:13" x14ac:dyDescent="0.3">
      <c r="B24" s="89"/>
      <c r="C24" s="89"/>
      <c r="D24" s="90"/>
      <c r="E24" s="90"/>
      <c r="F24" s="89"/>
      <c r="G24" s="89"/>
      <c r="H24" s="89"/>
      <c r="I24" s="89"/>
      <c r="J24" s="89"/>
      <c r="K24" s="89"/>
      <c r="L24" s="89"/>
      <c r="M24" s="89"/>
    </row>
    <row r="25" spans="2:13" x14ac:dyDescent="0.3">
      <c r="B25" s="89"/>
      <c r="C25" s="89"/>
      <c r="D25" s="90"/>
      <c r="E25" s="90"/>
      <c r="F25" s="89"/>
      <c r="G25" s="89"/>
      <c r="H25" s="89"/>
      <c r="I25" s="89"/>
      <c r="J25" s="89"/>
      <c r="K25" s="89"/>
      <c r="L25" s="89"/>
      <c r="M25" s="89"/>
    </row>
    <row r="26" spans="2:13" x14ac:dyDescent="0.3">
      <c r="B26" s="89"/>
      <c r="C26" s="89"/>
      <c r="D26" s="90"/>
      <c r="E26" s="90"/>
      <c r="F26" s="89"/>
      <c r="G26" s="89"/>
      <c r="H26" s="89"/>
      <c r="I26" s="89"/>
      <c r="J26" s="89"/>
      <c r="K26" s="89"/>
      <c r="L26" s="89"/>
      <c r="M26" s="89"/>
    </row>
    <row r="27" spans="2:13" x14ac:dyDescent="0.3">
      <c r="B27" s="89"/>
      <c r="C27" s="89"/>
      <c r="D27" s="90"/>
      <c r="E27" s="90"/>
      <c r="F27" s="89"/>
      <c r="G27" s="89"/>
      <c r="H27" s="89"/>
      <c r="I27" s="89"/>
      <c r="J27" s="89"/>
      <c r="K27" s="89"/>
      <c r="L27" s="89"/>
      <c r="M27" s="89"/>
    </row>
    <row r="28" spans="2:13" x14ac:dyDescent="0.3">
      <c r="B28" s="89"/>
      <c r="C28" s="89"/>
      <c r="D28" s="90"/>
      <c r="E28" s="90"/>
      <c r="F28" s="89"/>
      <c r="G28" s="89"/>
      <c r="H28" s="89"/>
      <c r="I28" s="89"/>
      <c r="J28" s="89"/>
      <c r="K28" s="89"/>
      <c r="L28" s="89"/>
      <c r="M28" s="89"/>
    </row>
    <row r="29" spans="2:13" x14ac:dyDescent="0.3">
      <c r="B29" s="89"/>
      <c r="C29" s="89"/>
      <c r="D29" s="90"/>
      <c r="E29" s="90"/>
      <c r="F29" s="89"/>
      <c r="G29" s="89"/>
      <c r="H29" s="89"/>
      <c r="I29" s="89"/>
      <c r="J29" s="89"/>
      <c r="K29" s="89"/>
      <c r="L29" s="89"/>
      <c r="M29" s="89"/>
    </row>
    <row r="30" spans="2:13" x14ac:dyDescent="0.3">
      <c r="B30" s="89"/>
      <c r="C30" s="89"/>
      <c r="D30" s="90"/>
      <c r="E30" s="90"/>
      <c r="F30" s="89"/>
      <c r="G30" s="89"/>
      <c r="H30" s="89"/>
      <c r="I30" s="89"/>
      <c r="J30" s="89"/>
      <c r="K30" s="89"/>
      <c r="L30" s="89"/>
      <c r="M30" s="89"/>
    </row>
    <row r="31" spans="2:13" x14ac:dyDescent="0.3">
      <c r="B31" s="89"/>
      <c r="C31" s="89"/>
      <c r="D31" s="90"/>
      <c r="E31" s="90"/>
      <c r="F31" s="89"/>
      <c r="G31" s="89"/>
      <c r="H31" s="89"/>
      <c r="I31" s="89"/>
      <c r="J31" s="89"/>
      <c r="K31" s="89"/>
      <c r="L31" s="89"/>
      <c r="M31" s="89"/>
    </row>
    <row r="32" spans="2:13" x14ac:dyDescent="0.3">
      <c r="B32" s="89"/>
      <c r="C32" s="89"/>
      <c r="D32" s="90"/>
      <c r="E32" s="90"/>
      <c r="F32" s="89"/>
      <c r="G32" s="89"/>
      <c r="H32" s="89"/>
      <c r="I32" s="89"/>
      <c r="J32" s="89"/>
      <c r="K32" s="89"/>
      <c r="L32" s="89"/>
      <c r="M32" s="89"/>
    </row>
    <row r="33" spans="2:13" x14ac:dyDescent="0.3">
      <c r="B33" s="89"/>
      <c r="C33" s="89"/>
      <c r="D33" s="90"/>
      <c r="E33" s="90"/>
      <c r="F33" s="89"/>
      <c r="G33" s="89"/>
      <c r="H33" s="89"/>
      <c r="I33" s="89"/>
      <c r="J33" s="89"/>
      <c r="K33" s="89"/>
      <c r="L33" s="89"/>
      <c r="M33" s="89"/>
    </row>
    <row r="34" spans="2:13" x14ac:dyDescent="0.3">
      <c r="B34" s="89"/>
      <c r="C34" s="89"/>
      <c r="D34" s="90"/>
      <c r="E34" s="90"/>
      <c r="F34" s="89"/>
      <c r="G34" s="89"/>
      <c r="H34" s="89"/>
      <c r="I34" s="89"/>
      <c r="J34" s="89"/>
      <c r="K34" s="89"/>
      <c r="L34" s="89"/>
      <c r="M34" s="89"/>
    </row>
    <row r="35" spans="2:13" x14ac:dyDescent="0.3">
      <c r="B35" s="89"/>
      <c r="C35" s="89"/>
      <c r="D35" s="90"/>
      <c r="E35" s="90"/>
      <c r="F35" s="89"/>
      <c r="G35" s="89"/>
      <c r="H35" s="89"/>
      <c r="I35" s="89"/>
      <c r="J35" s="89"/>
      <c r="K35" s="89"/>
      <c r="L35" s="89"/>
      <c r="M35" s="89"/>
    </row>
    <row r="36" spans="2:13" x14ac:dyDescent="0.3">
      <c r="B36" s="89"/>
      <c r="C36" s="89"/>
      <c r="D36" s="90"/>
      <c r="E36" s="90"/>
      <c r="F36" s="89"/>
      <c r="G36" s="89"/>
      <c r="H36" s="89"/>
      <c r="I36" s="89"/>
      <c r="J36" s="89"/>
      <c r="K36" s="89"/>
      <c r="L36" s="89"/>
      <c r="M36" s="89"/>
    </row>
    <row r="37" spans="2:13" x14ac:dyDescent="0.3">
      <c r="B37" s="89"/>
      <c r="C37" s="89"/>
      <c r="D37" s="90"/>
      <c r="E37" s="90"/>
      <c r="F37" s="89"/>
      <c r="G37" s="89"/>
      <c r="H37" s="89"/>
      <c r="I37" s="89"/>
      <c r="J37" s="89"/>
      <c r="K37" s="89"/>
      <c r="L37" s="89"/>
      <c r="M37" s="89"/>
    </row>
    <row r="38" spans="2:13" x14ac:dyDescent="0.3">
      <c r="B38" s="89"/>
      <c r="C38" s="89"/>
      <c r="D38" s="90"/>
      <c r="E38" s="90"/>
      <c r="F38" s="89"/>
      <c r="G38" s="89"/>
      <c r="H38" s="89"/>
      <c r="I38" s="89"/>
      <c r="J38" s="89"/>
      <c r="K38" s="89"/>
      <c r="L38" s="89"/>
      <c r="M38" s="89"/>
    </row>
    <row r="39" spans="2:13" x14ac:dyDescent="0.3">
      <c r="B39" s="89"/>
      <c r="C39" s="89"/>
      <c r="D39" s="90"/>
      <c r="E39" s="90"/>
      <c r="F39" s="89"/>
      <c r="G39" s="89"/>
      <c r="H39" s="89"/>
      <c r="I39" s="89"/>
      <c r="J39" s="89"/>
      <c r="K39" s="89"/>
      <c r="L39" s="89"/>
      <c r="M39" s="89"/>
    </row>
    <row r="40" spans="2:13" x14ac:dyDescent="0.3">
      <c r="B40" s="89"/>
      <c r="C40" s="89"/>
      <c r="D40" s="90"/>
      <c r="E40" s="90"/>
      <c r="F40" s="89"/>
      <c r="G40" s="89"/>
      <c r="H40" s="89"/>
      <c r="I40" s="89"/>
      <c r="J40" s="89"/>
      <c r="K40" s="89"/>
      <c r="L40" s="89"/>
      <c r="M40" s="89"/>
    </row>
    <row r="41" spans="2:13" x14ac:dyDescent="0.3">
      <c r="B41" s="89"/>
      <c r="C41" s="89"/>
      <c r="D41" s="90"/>
      <c r="E41" s="90"/>
      <c r="F41" s="89"/>
      <c r="G41" s="89"/>
      <c r="H41" s="89"/>
      <c r="I41" s="89"/>
      <c r="J41" s="89"/>
      <c r="K41" s="89"/>
      <c r="L41" s="89"/>
      <c r="M41" s="89"/>
    </row>
    <row r="42" spans="2:13" x14ac:dyDescent="0.3">
      <c r="B42" s="89"/>
      <c r="C42" s="89"/>
      <c r="D42" s="90"/>
      <c r="E42" s="90"/>
      <c r="F42" s="89"/>
      <c r="G42" s="89"/>
      <c r="H42" s="89"/>
      <c r="I42" s="89"/>
      <c r="J42" s="89"/>
      <c r="K42" s="89"/>
      <c r="L42" s="89"/>
      <c r="M42" s="89"/>
    </row>
    <row r="43" spans="2:13" x14ac:dyDescent="0.3">
      <c r="B43" s="89"/>
      <c r="C43" s="89"/>
      <c r="D43" s="90"/>
      <c r="E43" s="90"/>
      <c r="F43" s="89"/>
      <c r="G43" s="89"/>
      <c r="H43" s="89"/>
      <c r="I43" s="89"/>
      <c r="J43" s="89"/>
      <c r="K43" s="89"/>
      <c r="L43" s="89"/>
      <c r="M43" s="89"/>
    </row>
    <row r="44" spans="2:13" x14ac:dyDescent="0.3">
      <c r="B44" s="89"/>
      <c r="C44" s="89"/>
      <c r="D44" s="90"/>
      <c r="E44" s="90"/>
      <c r="F44" s="89"/>
      <c r="G44" s="89"/>
      <c r="H44" s="89"/>
      <c r="I44" s="89"/>
      <c r="J44" s="89"/>
      <c r="K44" s="89"/>
      <c r="L44" s="89"/>
      <c r="M44" s="89"/>
    </row>
    <row r="45" spans="2:13" x14ac:dyDescent="0.3">
      <c r="B45" s="89"/>
      <c r="C45" s="89"/>
      <c r="D45" s="90"/>
      <c r="E45" s="90"/>
      <c r="F45" s="89"/>
      <c r="G45" s="89"/>
      <c r="H45" s="89"/>
      <c r="I45" s="89"/>
      <c r="J45" s="89"/>
      <c r="K45" s="89"/>
      <c r="L45" s="89"/>
      <c r="M45" s="89"/>
    </row>
    <row r="46" spans="2:13" x14ac:dyDescent="0.3">
      <c r="B46" s="89"/>
      <c r="C46" s="89"/>
      <c r="D46" s="90"/>
      <c r="E46" s="90"/>
      <c r="F46" s="89"/>
      <c r="G46" s="89"/>
      <c r="H46" s="89"/>
      <c r="I46" s="89"/>
      <c r="J46" s="89"/>
      <c r="K46" s="89"/>
      <c r="L46" s="89"/>
      <c r="M46" s="89"/>
    </row>
    <row r="47" spans="2:13" x14ac:dyDescent="0.3">
      <c r="B47" s="89"/>
      <c r="C47" s="89"/>
      <c r="D47" s="90"/>
      <c r="E47" s="90"/>
      <c r="F47" s="89"/>
      <c r="G47" s="89"/>
      <c r="H47" s="89"/>
      <c r="I47" s="89"/>
      <c r="J47" s="89"/>
      <c r="K47" s="89"/>
      <c r="L47" s="89"/>
      <c r="M47" s="89"/>
    </row>
    <row r="48" spans="2:13" x14ac:dyDescent="0.3">
      <c r="B48" s="89"/>
      <c r="C48" s="89"/>
      <c r="D48" s="90"/>
      <c r="E48" s="90"/>
      <c r="F48" s="89"/>
      <c r="G48" s="89"/>
      <c r="H48" s="89"/>
      <c r="I48" s="89"/>
      <c r="J48" s="89"/>
      <c r="K48" s="89"/>
      <c r="L48" s="89"/>
      <c r="M48" s="89"/>
    </row>
    <row r="49" spans="2:13" x14ac:dyDescent="0.3">
      <c r="B49" s="89"/>
      <c r="C49" s="89"/>
      <c r="D49" s="90"/>
      <c r="E49" s="90"/>
      <c r="F49" s="89"/>
      <c r="G49" s="89"/>
      <c r="H49" s="89"/>
      <c r="I49" s="89"/>
      <c r="J49" s="89"/>
      <c r="K49" s="89"/>
      <c r="L49" s="89"/>
      <c r="M49" s="89"/>
    </row>
    <row r="50" spans="2:13" x14ac:dyDescent="0.3">
      <c r="B50" s="89"/>
      <c r="C50" s="89"/>
      <c r="D50" s="90"/>
      <c r="E50" s="90"/>
      <c r="F50" s="89"/>
      <c r="G50" s="89"/>
      <c r="H50" s="89"/>
      <c r="I50" s="89"/>
      <c r="J50" s="89"/>
      <c r="K50" s="89"/>
      <c r="L50" s="89"/>
      <c r="M50" s="89"/>
    </row>
    <row r="51" spans="2:13" x14ac:dyDescent="0.3">
      <c r="B51" s="89"/>
      <c r="C51" s="89"/>
      <c r="D51" s="90"/>
      <c r="E51" s="90"/>
      <c r="F51" s="89"/>
      <c r="G51" s="89"/>
      <c r="H51" s="89"/>
      <c r="I51" s="89"/>
      <c r="J51" s="89"/>
      <c r="K51" s="89"/>
      <c r="L51" s="89"/>
      <c r="M51" s="89"/>
    </row>
    <row r="52" spans="2:13" x14ac:dyDescent="0.3">
      <c r="B52" s="89"/>
      <c r="C52" s="89"/>
      <c r="D52" s="90"/>
      <c r="E52" s="90"/>
      <c r="F52" s="89"/>
      <c r="G52" s="89"/>
      <c r="H52" s="89"/>
      <c r="I52" s="89"/>
      <c r="J52" s="89"/>
      <c r="K52" s="89"/>
      <c r="L52" s="89"/>
      <c r="M52" s="89"/>
    </row>
    <row r="53" spans="2:13" x14ac:dyDescent="0.3">
      <c r="B53" s="89"/>
      <c r="C53" s="89"/>
      <c r="D53" s="90"/>
      <c r="E53" s="90"/>
      <c r="F53" s="89"/>
      <c r="G53" s="89"/>
      <c r="H53" s="89"/>
      <c r="I53" s="89"/>
      <c r="J53" s="89"/>
      <c r="K53" s="89"/>
      <c r="L53" s="89"/>
      <c r="M53" s="89"/>
    </row>
    <row r="54" spans="2:13" x14ac:dyDescent="0.3">
      <c r="B54" s="89"/>
      <c r="C54" s="89"/>
      <c r="D54" s="90"/>
      <c r="E54" s="90"/>
      <c r="F54" s="89"/>
      <c r="G54" s="89"/>
      <c r="H54" s="89"/>
      <c r="I54" s="89"/>
      <c r="J54" s="89"/>
      <c r="K54" s="89"/>
      <c r="L54" s="89"/>
      <c r="M54" s="89"/>
    </row>
    <row r="55" spans="2:13" x14ac:dyDescent="0.3">
      <c r="B55" s="89"/>
      <c r="C55" s="89"/>
      <c r="D55" s="90"/>
      <c r="E55" s="90"/>
      <c r="F55" s="89"/>
      <c r="G55" s="89"/>
      <c r="H55" s="89"/>
      <c r="I55" s="89"/>
      <c r="J55" s="89"/>
      <c r="K55" s="89"/>
      <c r="L55" s="89"/>
      <c r="M55" s="89"/>
    </row>
    <row r="56" spans="2:13" x14ac:dyDescent="0.3">
      <c r="B56" s="89"/>
      <c r="C56" s="89"/>
      <c r="D56" s="90"/>
      <c r="E56" s="90"/>
      <c r="F56" s="89"/>
      <c r="G56" s="89"/>
      <c r="H56" s="89"/>
      <c r="I56" s="89"/>
      <c r="J56" s="89"/>
      <c r="K56" s="89"/>
      <c r="L56" s="89"/>
      <c r="M56" s="89"/>
    </row>
    <row r="57" spans="2:13" x14ac:dyDescent="0.3">
      <c r="B57" s="89"/>
      <c r="C57" s="89"/>
      <c r="D57" s="90"/>
      <c r="E57" s="90"/>
      <c r="F57" s="89"/>
      <c r="G57" s="89"/>
      <c r="H57" s="89"/>
      <c r="I57" s="89"/>
      <c r="J57" s="89"/>
      <c r="K57" s="89"/>
      <c r="L57" s="89"/>
      <c r="M57" s="89"/>
    </row>
    <row r="58" spans="2:13" x14ac:dyDescent="0.3">
      <c r="B58" s="89"/>
      <c r="C58" s="89"/>
      <c r="D58" s="90"/>
      <c r="E58" s="90"/>
      <c r="F58" s="89"/>
      <c r="G58" s="89"/>
      <c r="H58" s="89"/>
      <c r="I58" s="89"/>
      <c r="J58" s="89"/>
      <c r="K58" s="89"/>
      <c r="L58" s="89"/>
      <c r="M58" s="89"/>
    </row>
    <row r="59" spans="2:13" x14ac:dyDescent="0.3">
      <c r="B59" s="89"/>
      <c r="C59" s="89"/>
      <c r="D59" s="90"/>
      <c r="E59" s="90"/>
      <c r="F59" s="89"/>
      <c r="G59" s="89"/>
      <c r="H59" s="89"/>
      <c r="I59" s="89"/>
      <c r="J59" s="89"/>
      <c r="K59" s="89"/>
      <c r="L59" s="89"/>
      <c r="M59" s="89"/>
    </row>
    <row r="60" spans="2:13" x14ac:dyDescent="0.3">
      <c r="B60" s="89"/>
      <c r="C60" s="89"/>
      <c r="D60" s="90"/>
      <c r="E60" s="90"/>
      <c r="F60" s="89"/>
      <c r="G60" s="89"/>
      <c r="H60" s="89"/>
      <c r="I60" s="89"/>
      <c r="J60" s="89"/>
      <c r="K60" s="89"/>
      <c r="L60" s="89"/>
      <c r="M60" s="89"/>
    </row>
    <row r="61" spans="2:13" x14ac:dyDescent="0.3">
      <c r="B61" s="89"/>
      <c r="C61" s="89"/>
      <c r="D61" s="90"/>
      <c r="E61" s="90"/>
      <c r="F61" s="89"/>
      <c r="G61" s="89"/>
      <c r="H61" s="89"/>
      <c r="I61" s="89"/>
      <c r="J61" s="89"/>
      <c r="K61" s="89"/>
      <c r="L61" s="89"/>
      <c r="M61" s="89"/>
    </row>
    <row r="62" spans="2:13" x14ac:dyDescent="0.3">
      <c r="B62" s="89"/>
      <c r="C62" s="89"/>
      <c r="D62" s="90"/>
      <c r="E62" s="90"/>
      <c r="F62" s="89"/>
      <c r="G62" s="89"/>
      <c r="H62" s="89"/>
      <c r="I62" s="89"/>
      <c r="J62" s="89"/>
      <c r="K62" s="89"/>
      <c r="L62" s="89"/>
      <c r="M62" s="89"/>
    </row>
    <row r="63" spans="2:13" x14ac:dyDescent="0.3">
      <c r="B63" s="89"/>
      <c r="C63" s="89"/>
      <c r="D63" s="90"/>
      <c r="E63" s="90"/>
      <c r="F63" s="89"/>
      <c r="G63" s="89"/>
      <c r="H63" s="89"/>
      <c r="I63" s="89"/>
      <c r="J63" s="89"/>
      <c r="K63" s="89"/>
      <c r="L63" s="89"/>
      <c r="M63" s="89"/>
    </row>
    <row r="64" spans="2:13" x14ac:dyDescent="0.3">
      <c r="B64" s="89"/>
      <c r="C64" s="89"/>
      <c r="D64" s="90"/>
      <c r="E64" s="90"/>
      <c r="F64" s="89"/>
      <c r="G64" s="89"/>
      <c r="H64" s="89"/>
      <c r="I64" s="89"/>
      <c r="J64" s="89"/>
      <c r="K64" s="89"/>
      <c r="L64" s="89"/>
      <c r="M64" s="89"/>
    </row>
    <row r="65" spans="2:13" x14ac:dyDescent="0.3">
      <c r="B65" s="89"/>
      <c r="C65" s="89"/>
      <c r="D65" s="90"/>
      <c r="E65" s="90"/>
      <c r="F65" s="89"/>
      <c r="G65" s="89"/>
      <c r="H65" s="89"/>
      <c r="I65" s="89"/>
      <c r="J65" s="89"/>
      <c r="K65" s="89"/>
      <c r="L65" s="89"/>
      <c r="M65" s="89"/>
    </row>
    <row r="66" spans="2:13" x14ac:dyDescent="0.3">
      <c r="B66" s="89"/>
      <c r="C66" s="89"/>
      <c r="D66" s="90"/>
      <c r="E66" s="90"/>
      <c r="F66" s="89"/>
      <c r="G66" s="89"/>
      <c r="H66" s="89"/>
      <c r="I66" s="89"/>
      <c r="J66" s="89"/>
      <c r="K66" s="89"/>
      <c r="L66" s="89"/>
      <c r="M66" s="89"/>
    </row>
    <row r="67" spans="2:13" x14ac:dyDescent="0.3">
      <c r="B67" s="89"/>
      <c r="C67" s="89"/>
      <c r="D67" s="90"/>
      <c r="E67" s="90"/>
      <c r="F67" s="89"/>
      <c r="G67" s="89"/>
      <c r="H67" s="89"/>
      <c r="I67" s="89"/>
      <c r="J67" s="89"/>
      <c r="K67" s="89"/>
      <c r="L67" s="89"/>
      <c r="M67" s="89"/>
    </row>
    <row r="68" spans="2:13" x14ac:dyDescent="0.3">
      <c r="B68" s="89"/>
      <c r="C68" s="89"/>
      <c r="D68" s="90"/>
      <c r="E68" s="90"/>
      <c r="F68" s="89"/>
      <c r="G68" s="89"/>
      <c r="H68" s="89"/>
      <c r="I68" s="89"/>
      <c r="J68" s="89"/>
      <c r="K68" s="89"/>
      <c r="L68" s="89"/>
      <c r="M68" s="89"/>
    </row>
    <row r="69" spans="2:13" x14ac:dyDescent="0.3">
      <c r="B69" s="89"/>
      <c r="C69" s="89"/>
      <c r="D69" s="90"/>
      <c r="E69" s="90"/>
      <c r="F69" s="89"/>
      <c r="G69" s="89"/>
      <c r="H69" s="89"/>
      <c r="I69" s="89"/>
      <c r="J69" s="89"/>
      <c r="K69" s="89"/>
      <c r="L69" s="89"/>
      <c r="M69" s="89"/>
    </row>
    <row r="70" spans="2:13" x14ac:dyDescent="0.3">
      <c r="B70" s="89"/>
      <c r="C70" s="89"/>
      <c r="D70" s="90"/>
      <c r="E70" s="90"/>
      <c r="F70" s="89"/>
      <c r="G70" s="89"/>
      <c r="H70" s="89"/>
      <c r="I70" s="89"/>
      <c r="J70" s="89"/>
      <c r="K70" s="89"/>
      <c r="L70" s="89"/>
      <c r="M70" s="89"/>
    </row>
    <row r="71" spans="2:13" x14ac:dyDescent="0.3">
      <c r="B71" s="89"/>
      <c r="C71" s="89"/>
      <c r="D71" s="90"/>
      <c r="E71" s="90"/>
      <c r="F71" s="89"/>
      <c r="G71" s="89"/>
      <c r="H71" s="89"/>
      <c r="I71" s="89"/>
      <c r="J71" s="89"/>
      <c r="K71" s="89"/>
      <c r="L71" s="89"/>
      <c r="M71" s="89"/>
    </row>
    <row r="72" spans="2:13" x14ac:dyDescent="0.3">
      <c r="B72" s="89"/>
      <c r="C72" s="89"/>
      <c r="D72" s="90"/>
      <c r="E72" s="90"/>
      <c r="F72" s="89"/>
      <c r="G72" s="89"/>
      <c r="H72" s="89"/>
      <c r="I72" s="89"/>
      <c r="J72" s="89"/>
      <c r="K72" s="89"/>
      <c r="L72" s="89"/>
      <c r="M72" s="89"/>
    </row>
    <row r="73" spans="2:13" x14ac:dyDescent="0.3">
      <c r="B73" s="89"/>
      <c r="C73" s="89"/>
      <c r="D73" s="90"/>
      <c r="E73" s="90"/>
      <c r="F73" s="89"/>
      <c r="G73" s="89"/>
      <c r="H73" s="89"/>
      <c r="I73" s="89"/>
      <c r="J73" s="89"/>
      <c r="K73" s="89"/>
      <c r="L73" s="89"/>
      <c r="M73" s="89"/>
    </row>
    <row r="74" spans="2:13" x14ac:dyDescent="0.3">
      <c r="B74" s="89"/>
      <c r="C74" s="89"/>
      <c r="D74" s="90"/>
      <c r="E74" s="90"/>
      <c r="F74" s="89"/>
      <c r="G74" s="89"/>
      <c r="H74" s="89"/>
      <c r="I74" s="89"/>
      <c r="J74" s="89"/>
      <c r="K74" s="89"/>
      <c r="L74" s="89"/>
      <c r="M74" s="89"/>
    </row>
    <row r="75" spans="2:13" x14ac:dyDescent="0.3">
      <c r="B75" s="89"/>
      <c r="C75" s="89"/>
      <c r="D75" s="90"/>
      <c r="E75" s="90"/>
      <c r="F75" s="89"/>
      <c r="G75" s="89"/>
      <c r="H75" s="89"/>
      <c r="I75" s="89"/>
      <c r="J75" s="89"/>
      <c r="K75" s="89"/>
      <c r="L75" s="89"/>
      <c r="M75" s="89"/>
    </row>
    <row r="76" spans="2:13" x14ac:dyDescent="0.3">
      <c r="B76" s="89"/>
      <c r="C76" s="89"/>
      <c r="D76" s="90"/>
      <c r="E76" s="90"/>
      <c r="F76" s="89"/>
      <c r="G76" s="89"/>
      <c r="H76" s="89"/>
      <c r="I76" s="89"/>
      <c r="J76" s="89"/>
      <c r="K76" s="89"/>
      <c r="L76" s="89"/>
      <c r="M76" s="89"/>
    </row>
    <row r="77" spans="2:13" x14ac:dyDescent="0.3">
      <c r="B77" s="89"/>
      <c r="C77" s="89"/>
      <c r="D77" s="90"/>
      <c r="E77" s="90"/>
      <c r="F77" s="89"/>
      <c r="G77" s="89"/>
      <c r="H77" s="89"/>
      <c r="I77" s="89"/>
      <c r="J77" s="89"/>
      <c r="K77" s="89"/>
      <c r="L77" s="89"/>
      <c r="M77" s="89"/>
    </row>
    <row r="78" spans="2:13" x14ac:dyDescent="0.3">
      <c r="B78" s="89"/>
      <c r="C78" s="89"/>
      <c r="D78" s="90"/>
      <c r="E78" s="90"/>
      <c r="F78" s="89"/>
      <c r="G78" s="89"/>
      <c r="H78" s="89"/>
      <c r="I78" s="89"/>
      <c r="J78" s="89"/>
      <c r="K78" s="89"/>
      <c r="L78" s="89"/>
      <c r="M78" s="89"/>
    </row>
    <row r="79" spans="2:13" x14ac:dyDescent="0.3">
      <c r="B79" s="89"/>
      <c r="C79" s="89"/>
      <c r="D79" s="90"/>
      <c r="E79" s="90"/>
      <c r="F79" s="89"/>
      <c r="G79" s="89"/>
      <c r="H79" s="89"/>
      <c r="I79" s="89"/>
      <c r="J79" s="89"/>
      <c r="K79" s="89"/>
      <c r="L79" s="89"/>
      <c r="M79" s="89"/>
    </row>
    <row r="80" spans="2:13" x14ac:dyDescent="0.3">
      <c r="B80" s="89"/>
      <c r="C80" s="89"/>
      <c r="D80" s="90"/>
      <c r="E80" s="90"/>
      <c r="F80" s="89"/>
      <c r="G80" s="89"/>
      <c r="H80" s="89"/>
      <c r="I80" s="89"/>
      <c r="J80" s="89"/>
      <c r="K80" s="89"/>
      <c r="L80" s="89"/>
      <c r="M80" s="89"/>
    </row>
    <row r="81" spans="2:13" x14ac:dyDescent="0.3">
      <c r="B81" s="89"/>
      <c r="C81" s="89"/>
      <c r="D81" s="90"/>
      <c r="E81" s="90"/>
      <c r="F81" s="89"/>
      <c r="G81" s="89"/>
      <c r="H81" s="89"/>
      <c r="I81" s="89"/>
      <c r="J81" s="89"/>
      <c r="K81" s="89"/>
      <c r="L81" s="89"/>
      <c r="M81" s="89"/>
    </row>
    <row r="82" spans="2:13" x14ac:dyDescent="0.3">
      <c r="B82" s="89"/>
      <c r="C82" s="89"/>
      <c r="D82" s="90"/>
      <c r="E82" s="90"/>
      <c r="F82" s="89"/>
      <c r="G82" s="89"/>
      <c r="H82" s="89"/>
      <c r="I82" s="89"/>
      <c r="J82" s="89"/>
      <c r="K82" s="89"/>
      <c r="L82" s="89"/>
      <c r="M82" s="89"/>
    </row>
    <row r="83" spans="2:13" x14ac:dyDescent="0.3">
      <c r="B83" s="89"/>
      <c r="C83" s="89"/>
      <c r="D83" s="90"/>
      <c r="E83" s="90"/>
      <c r="F83" s="89"/>
      <c r="G83" s="89"/>
      <c r="H83" s="89"/>
      <c r="I83" s="89"/>
      <c r="J83" s="89"/>
      <c r="K83" s="89"/>
      <c r="L83" s="89"/>
      <c r="M83" s="89"/>
    </row>
    <row r="84" spans="2:13" x14ac:dyDescent="0.3">
      <c r="B84" s="89"/>
      <c r="C84" s="89"/>
      <c r="D84" s="90"/>
      <c r="E84" s="90"/>
      <c r="F84" s="89"/>
      <c r="G84" s="89"/>
      <c r="H84" s="89"/>
      <c r="I84" s="89"/>
      <c r="J84" s="89"/>
      <c r="K84" s="89"/>
      <c r="L84" s="89"/>
      <c r="M84" s="89"/>
    </row>
    <row r="85" spans="2:13" x14ac:dyDescent="0.3">
      <c r="B85" s="89"/>
      <c r="C85" s="89"/>
      <c r="D85" s="90"/>
      <c r="E85" s="90"/>
      <c r="F85" s="89"/>
      <c r="G85" s="89"/>
      <c r="H85" s="89"/>
      <c r="I85" s="89"/>
      <c r="J85" s="89"/>
      <c r="K85" s="89"/>
      <c r="L85" s="89"/>
      <c r="M85" s="89"/>
    </row>
    <row r="86" spans="2:13" x14ac:dyDescent="0.3">
      <c r="B86" s="89"/>
      <c r="C86" s="89"/>
      <c r="D86" s="90"/>
      <c r="E86" s="90"/>
      <c r="F86" s="89"/>
      <c r="G86" s="89"/>
      <c r="H86" s="89"/>
      <c r="I86" s="89"/>
      <c r="J86" s="89"/>
      <c r="K86" s="89"/>
      <c r="L86" s="89"/>
      <c r="M86" s="89"/>
    </row>
    <row r="87" spans="2:13" x14ac:dyDescent="0.3">
      <c r="B87" s="89"/>
      <c r="C87" s="89"/>
      <c r="D87" s="90"/>
      <c r="E87" s="90"/>
      <c r="F87" s="89"/>
      <c r="G87" s="89"/>
      <c r="H87" s="89"/>
      <c r="I87" s="89"/>
      <c r="J87" s="89"/>
      <c r="K87" s="89"/>
      <c r="L87" s="89"/>
      <c r="M87" s="89"/>
    </row>
    <row r="88" spans="2:13" x14ac:dyDescent="0.3">
      <c r="B88" s="89"/>
      <c r="C88" s="89"/>
      <c r="D88" s="90"/>
      <c r="E88" s="90"/>
      <c r="F88" s="89"/>
      <c r="G88" s="89"/>
      <c r="H88" s="89"/>
      <c r="I88" s="89"/>
      <c r="J88" s="89"/>
      <c r="K88" s="89"/>
      <c r="L88" s="89"/>
      <c r="M88" s="89"/>
    </row>
    <row r="89" spans="2:13" x14ac:dyDescent="0.3">
      <c r="B89" s="89"/>
      <c r="C89" s="89"/>
      <c r="D89" s="90"/>
      <c r="E89" s="90"/>
      <c r="F89" s="89"/>
      <c r="G89" s="89"/>
      <c r="H89" s="89"/>
      <c r="I89" s="89"/>
      <c r="J89" s="89"/>
      <c r="K89" s="89"/>
      <c r="L89" s="89"/>
      <c r="M89" s="89"/>
    </row>
    <row r="90" spans="2:13" x14ac:dyDescent="0.3">
      <c r="B90" s="89"/>
      <c r="C90" s="89"/>
      <c r="D90" s="90"/>
      <c r="E90" s="90"/>
      <c r="F90" s="89"/>
      <c r="G90" s="89"/>
      <c r="H90" s="89"/>
      <c r="I90" s="89"/>
      <c r="J90" s="89"/>
      <c r="K90" s="89"/>
      <c r="L90" s="89"/>
      <c r="M90" s="89"/>
    </row>
    <row r="91" spans="2:13" x14ac:dyDescent="0.3">
      <c r="B91" s="89"/>
      <c r="C91" s="89"/>
      <c r="D91" s="90"/>
      <c r="E91" s="90"/>
      <c r="F91" s="89"/>
      <c r="G91" s="89"/>
      <c r="H91" s="89"/>
      <c r="I91" s="89"/>
      <c r="J91" s="89"/>
      <c r="K91" s="89"/>
      <c r="L91" s="89"/>
      <c r="M91" s="89"/>
    </row>
    <row r="92" spans="2:13" x14ac:dyDescent="0.3">
      <c r="B92" s="89"/>
      <c r="C92" s="89"/>
      <c r="D92" s="90"/>
      <c r="E92" s="90"/>
      <c r="F92" s="89"/>
      <c r="G92" s="89"/>
      <c r="H92" s="89"/>
      <c r="I92" s="89"/>
      <c r="J92" s="89"/>
      <c r="K92" s="89"/>
      <c r="L92" s="89"/>
      <c r="M92" s="89"/>
    </row>
    <row r="93" spans="2:13" x14ac:dyDescent="0.3">
      <c r="B93" s="89"/>
      <c r="C93" s="89"/>
      <c r="D93" s="90"/>
      <c r="E93" s="90"/>
      <c r="F93" s="89"/>
      <c r="G93" s="89"/>
      <c r="H93" s="89"/>
      <c r="I93" s="89"/>
      <c r="J93" s="89"/>
      <c r="K93" s="89"/>
      <c r="L93" s="89"/>
      <c r="M93" s="89"/>
    </row>
    <row r="94" spans="2:13" x14ac:dyDescent="0.3">
      <c r="B94" s="89"/>
      <c r="C94" s="89"/>
      <c r="D94" s="90"/>
      <c r="E94" s="90"/>
      <c r="F94" s="89"/>
      <c r="G94" s="89"/>
      <c r="H94" s="89"/>
      <c r="I94" s="89"/>
      <c r="J94" s="89"/>
      <c r="K94" s="89"/>
      <c r="L94" s="89"/>
      <c r="M94" s="89"/>
    </row>
    <row r="95" spans="2:13" x14ac:dyDescent="0.3">
      <c r="B95" s="89"/>
      <c r="C95" s="89"/>
      <c r="D95" s="90"/>
      <c r="E95" s="90"/>
      <c r="F95" s="89"/>
      <c r="G95" s="89"/>
      <c r="H95" s="89"/>
      <c r="I95" s="89"/>
      <c r="J95" s="89"/>
      <c r="K95" s="89"/>
      <c r="L95" s="89"/>
      <c r="M95" s="89"/>
    </row>
    <row r="96" spans="2:13" x14ac:dyDescent="0.3">
      <c r="B96" s="89"/>
      <c r="C96" s="89"/>
      <c r="D96" s="90"/>
      <c r="E96" s="90"/>
      <c r="F96" s="89"/>
      <c r="G96" s="89"/>
      <c r="H96" s="89"/>
      <c r="I96" s="89"/>
      <c r="J96" s="89"/>
      <c r="K96" s="89"/>
      <c r="L96" s="89"/>
      <c r="M96" s="89"/>
    </row>
    <row r="97" spans="2:13" x14ac:dyDescent="0.3">
      <c r="B97" s="89"/>
      <c r="C97" s="89"/>
      <c r="D97" s="90"/>
      <c r="E97" s="90"/>
      <c r="F97" s="89"/>
      <c r="G97" s="89"/>
      <c r="H97" s="89"/>
      <c r="I97" s="89"/>
      <c r="J97" s="89"/>
      <c r="K97" s="89"/>
      <c r="L97" s="89"/>
      <c r="M97" s="89"/>
    </row>
    <row r="98" spans="2:13" x14ac:dyDescent="0.3">
      <c r="B98" s="89"/>
      <c r="C98" s="89"/>
      <c r="D98" s="90"/>
      <c r="E98" s="90"/>
      <c r="F98" s="89"/>
      <c r="G98" s="89"/>
      <c r="H98" s="89"/>
      <c r="I98" s="89"/>
      <c r="J98" s="89"/>
      <c r="K98" s="89"/>
      <c r="L98" s="89"/>
      <c r="M98" s="89"/>
    </row>
    <row r="99" spans="2:13" x14ac:dyDescent="0.3">
      <c r="B99" s="89"/>
      <c r="C99" s="89"/>
      <c r="D99" s="90"/>
      <c r="E99" s="90"/>
      <c r="F99" s="89"/>
      <c r="G99" s="89"/>
      <c r="H99" s="89"/>
      <c r="I99" s="89"/>
      <c r="J99" s="89"/>
      <c r="K99" s="89"/>
      <c r="L99" s="89"/>
      <c r="M99" s="89"/>
    </row>
    <row r="100" spans="2:13" x14ac:dyDescent="0.3">
      <c r="B100" s="89"/>
      <c r="C100" s="89"/>
      <c r="D100" s="90"/>
      <c r="E100" s="90"/>
      <c r="F100" s="89"/>
      <c r="G100" s="89"/>
      <c r="H100" s="89"/>
      <c r="I100" s="89"/>
      <c r="J100" s="89"/>
      <c r="K100" s="89"/>
      <c r="L100" s="89"/>
      <c r="M100" s="89"/>
    </row>
    <row r="101" spans="2:13" x14ac:dyDescent="0.3">
      <c r="B101" s="89"/>
      <c r="C101" s="89"/>
      <c r="D101" s="90"/>
      <c r="E101" s="90"/>
      <c r="F101" s="89"/>
      <c r="G101" s="89"/>
      <c r="H101" s="89"/>
      <c r="I101" s="89"/>
      <c r="J101" s="89"/>
      <c r="K101" s="89"/>
      <c r="L101" s="89"/>
      <c r="M101" s="89"/>
    </row>
    <row r="102" spans="2:13" x14ac:dyDescent="0.3">
      <c r="B102" s="89"/>
      <c r="C102" s="89"/>
      <c r="D102" s="90"/>
      <c r="E102" s="90"/>
      <c r="F102" s="89"/>
      <c r="G102" s="89"/>
      <c r="H102" s="89"/>
      <c r="I102" s="89"/>
      <c r="J102" s="89"/>
      <c r="K102" s="89"/>
      <c r="L102" s="89"/>
      <c r="M102" s="89"/>
    </row>
    <row r="103" spans="2:13" x14ac:dyDescent="0.3">
      <c r="B103" s="89"/>
      <c r="C103" s="89"/>
      <c r="D103" s="90"/>
      <c r="E103" s="90"/>
      <c r="F103" s="89"/>
      <c r="G103" s="89"/>
      <c r="H103" s="89"/>
      <c r="I103" s="89"/>
      <c r="J103" s="89"/>
      <c r="K103" s="89"/>
      <c r="L103" s="89"/>
      <c r="M103" s="89"/>
    </row>
    <row r="104" spans="2:13" x14ac:dyDescent="0.3">
      <c r="B104" s="89"/>
      <c r="C104" s="89"/>
      <c r="D104" s="90"/>
      <c r="E104" s="90"/>
      <c r="F104" s="89"/>
      <c r="G104" s="89"/>
      <c r="H104" s="89"/>
      <c r="I104" s="89"/>
      <c r="J104" s="89"/>
      <c r="K104" s="89"/>
      <c r="L104" s="89"/>
      <c r="M104" s="89"/>
    </row>
    <row r="105" spans="2:13" x14ac:dyDescent="0.3">
      <c r="B105" s="89"/>
      <c r="C105" s="89"/>
      <c r="D105" s="90"/>
      <c r="E105" s="90"/>
      <c r="F105" s="89"/>
      <c r="G105" s="89"/>
      <c r="H105" s="89"/>
      <c r="I105" s="89"/>
      <c r="J105" s="89"/>
      <c r="K105" s="89"/>
      <c r="L105" s="89"/>
      <c r="M105" s="89"/>
    </row>
    <row r="106" spans="2:13" x14ac:dyDescent="0.3">
      <c r="B106" s="89"/>
      <c r="C106" s="89"/>
      <c r="D106" s="90"/>
      <c r="E106" s="90"/>
      <c r="F106" s="89"/>
      <c r="G106" s="89"/>
      <c r="H106" s="89"/>
      <c r="I106" s="89"/>
      <c r="J106" s="89"/>
      <c r="K106" s="89"/>
      <c r="L106" s="89"/>
      <c r="M106" s="89"/>
    </row>
    <row r="107" spans="2:13" x14ac:dyDescent="0.3">
      <c r="B107" s="89"/>
      <c r="C107" s="89"/>
      <c r="D107" s="90"/>
      <c r="E107" s="90"/>
      <c r="F107" s="89"/>
      <c r="G107" s="89"/>
      <c r="H107" s="89"/>
      <c r="I107" s="89"/>
      <c r="J107" s="89"/>
      <c r="K107" s="89"/>
      <c r="L107" s="89"/>
      <c r="M107" s="89"/>
    </row>
    <row r="108" spans="2:13" x14ac:dyDescent="0.3">
      <c r="B108" s="89"/>
      <c r="C108" s="89"/>
      <c r="D108" s="90"/>
      <c r="E108" s="90"/>
      <c r="F108" s="89"/>
      <c r="G108" s="89"/>
      <c r="H108" s="89"/>
      <c r="I108" s="89"/>
      <c r="J108" s="89"/>
      <c r="K108" s="89"/>
      <c r="L108" s="89"/>
      <c r="M108" s="89"/>
    </row>
    <row r="109" spans="2:13" x14ac:dyDescent="0.3">
      <c r="B109" s="89"/>
      <c r="C109" s="89"/>
      <c r="D109" s="90"/>
      <c r="E109" s="90"/>
      <c r="F109" s="89"/>
      <c r="G109" s="89"/>
      <c r="H109" s="89"/>
      <c r="I109" s="89"/>
      <c r="J109" s="89"/>
      <c r="K109" s="89"/>
      <c r="L109" s="89"/>
      <c r="M109" s="89"/>
    </row>
    <row r="110" spans="2:13" x14ac:dyDescent="0.3">
      <c r="B110" s="89"/>
      <c r="C110" s="89"/>
      <c r="D110" s="90"/>
      <c r="E110" s="90"/>
      <c r="F110" s="89"/>
      <c r="G110" s="89"/>
      <c r="H110" s="89"/>
      <c r="I110" s="89"/>
      <c r="J110" s="89"/>
      <c r="K110" s="89"/>
      <c r="L110" s="89"/>
      <c r="M110" s="89"/>
    </row>
    <row r="111" spans="2:13" x14ac:dyDescent="0.3">
      <c r="B111" s="89"/>
      <c r="C111" s="89"/>
      <c r="D111" s="90"/>
      <c r="E111" s="90"/>
      <c r="F111" s="89"/>
      <c r="G111" s="89"/>
      <c r="H111" s="89"/>
      <c r="I111" s="89"/>
      <c r="J111" s="89"/>
      <c r="K111" s="89"/>
      <c r="L111" s="89"/>
      <c r="M111" s="89"/>
    </row>
    <row r="112" spans="2:13" x14ac:dyDescent="0.3">
      <c r="B112" s="89"/>
      <c r="C112" s="89"/>
      <c r="D112" s="90"/>
      <c r="E112" s="90"/>
      <c r="F112" s="89"/>
      <c r="G112" s="89"/>
      <c r="H112" s="89"/>
      <c r="I112" s="89"/>
      <c r="J112" s="89"/>
      <c r="K112" s="89"/>
      <c r="L112" s="89"/>
      <c r="M112" s="89"/>
    </row>
    <row r="113" spans="2:13" x14ac:dyDescent="0.3">
      <c r="B113" s="89"/>
      <c r="C113" s="89"/>
      <c r="D113" s="90"/>
      <c r="E113" s="90"/>
      <c r="F113" s="89"/>
      <c r="G113" s="89"/>
      <c r="H113" s="89"/>
      <c r="I113" s="89"/>
      <c r="J113" s="89"/>
      <c r="K113" s="89"/>
      <c r="L113" s="89"/>
      <c r="M113" s="89"/>
    </row>
    <row r="114" spans="2:13" x14ac:dyDescent="0.3">
      <c r="B114" s="89"/>
      <c r="C114" s="89"/>
      <c r="D114" s="90"/>
      <c r="E114" s="90"/>
      <c r="F114" s="89"/>
      <c r="G114" s="89"/>
      <c r="H114" s="89"/>
      <c r="I114" s="89"/>
      <c r="J114" s="89"/>
      <c r="K114" s="89"/>
      <c r="L114" s="89"/>
      <c r="M114" s="89"/>
    </row>
    <row r="115" spans="2:13" x14ac:dyDescent="0.3">
      <c r="B115" s="89"/>
      <c r="C115" s="89"/>
      <c r="D115" s="90"/>
      <c r="E115" s="90"/>
      <c r="F115" s="89"/>
      <c r="G115" s="89"/>
      <c r="H115" s="89"/>
      <c r="I115" s="89"/>
      <c r="J115" s="89"/>
      <c r="K115" s="89"/>
      <c r="L115" s="89"/>
      <c r="M115" s="89"/>
    </row>
    <row r="116" spans="2:13" x14ac:dyDescent="0.3">
      <c r="B116" s="89"/>
      <c r="C116" s="89"/>
      <c r="D116" s="90"/>
      <c r="E116" s="90"/>
      <c r="F116" s="89"/>
      <c r="G116" s="89"/>
      <c r="H116" s="89"/>
      <c r="I116" s="89"/>
      <c r="J116" s="89"/>
      <c r="K116" s="89"/>
      <c r="L116" s="89"/>
      <c r="M116" s="89"/>
    </row>
    <row r="117" spans="2:13" x14ac:dyDescent="0.3">
      <c r="B117" s="89"/>
      <c r="C117" s="89"/>
      <c r="D117" s="90"/>
      <c r="E117" s="90"/>
      <c r="F117" s="89"/>
      <c r="G117" s="89"/>
      <c r="H117" s="89"/>
      <c r="I117" s="89"/>
      <c r="J117" s="89"/>
      <c r="K117" s="89"/>
      <c r="L117" s="89"/>
      <c r="M117" s="89"/>
    </row>
    <row r="118" spans="2:13" x14ac:dyDescent="0.3">
      <c r="B118" s="89"/>
      <c r="C118" s="89"/>
      <c r="D118" s="90"/>
      <c r="E118" s="90"/>
      <c r="F118" s="89"/>
      <c r="G118" s="89"/>
      <c r="H118" s="89"/>
      <c r="I118" s="89"/>
      <c r="J118" s="89"/>
      <c r="K118" s="89"/>
      <c r="L118" s="89"/>
      <c r="M118" s="89"/>
    </row>
    <row r="119" spans="2:13" x14ac:dyDescent="0.3">
      <c r="B119" s="89"/>
      <c r="C119" s="89"/>
      <c r="D119" s="90"/>
      <c r="E119" s="90"/>
      <c r="F119" s="89"/>
      <c r="G119" s="89"/>
      <c r="H119" s="89"/>
      <c r="I119" s="89"/>
      <c r="J119" s="89"/>
      <c r="K119" s="89"/>
      <c r="L119" s="89"/>
      <c r="M119" s="89"/>
    </row>
    <row r="120" spans="2:13" x14ac:dyDescent="0.3">
      <c r="B120" s="89"/>
      <c r="C120" s="89"/>
      <c r="D120" s="90"/>
      <c r="E120" s="90"/>
      <c r="F120" s="89"/>
      <c r="G120" s="89"/>
      <c r="H120" s="89"/>
      <c r="I120" s="89"/>
      <c r="J120" s="89"/>
      <c r="K120" s="89"/>
      <c r="L120" s="89"/>
      <c r="M120" s="89"/>
    </row>
    <row r="121" spans="2:13" x14ac:dyDescent="0.3">
      <c r="B121" s="89"/>
      <c r="C121" s="89"/>
      <c r="D121" s="90"/>
      <c r="E121" s="90"/>
      <c r="F121" s="89"/>
      <c r="G121" s="89"/>
      <c r="H121" s="89"/>
      <c r="I121" s="89"/>
      <c r="J121" s="89"/>
      <c r="K121" s="89"/>
      <c r="L121" s="89"/>
      <c r="M121" s="89"/>
    </row>
    <row r="122" spans="2:13" x14ac:dyDescent="0.3">
      <c r="B122" s="89"/>
      <c r="C122" s="89"/>
      <c r="D122" s="90"/>
      <c r="E122" s="90"/>
      <c r="F122" s="89"/>
      <c r="G122" s="89"/>
      <c r="H122" s="89"/>
      <c r="I122" s="89"/>
      <c r="J122" s="89"/>
      <c r="K122" s="89"/>
      <c r="L122" s="89"/>
      <c r="M122" s="89"/>
    </row>
    <row r="123" spans="2:13" x14ac:dyDescent="0.3">
      <c r="B123" s="89"/>
      <c r="C123" s="89"/>
      <c r="D123" s="90"/>
      <c r="E123" s="90"/>
      <c r="F123" s="89"/>
      <c r="G123" s="89"/>
      <c r="H123" s="89"/>
      <c r="I123" s="89"/>
      <c r="J123" s="89"/>
      <c r="K123" s="89"/>
      <c r="L123" s="89"/>
      <c r="M123" s="89"/>
    </row>
    <row r="124" spans="2:13" x14ac:dyDescent="0.3">
      <c r="B124" s="89"/>
      <c r="C124" s="89"/>
      <c r="D124" s="90"/>
      <c r="E124" s="90"/>
      <c r="F124" s="89"/>
      <c r="G124" s="89"/>
      <c r="H124" s="89"/>
      <c r="I124" s="89"/>
      <c r="J124" s="89"/>
      <c r="K124" s="89"/>
      <c r="L124" s="89"/>
      <c r="M124" s="89"/>
    </row>
    <row r="125" spans="2:13" x14ac:dyDescent="0.3">
      <c r="B125" s="89"/>
      <c r="C125" s="89"/>
      <c r="D125" s="90"/>
      <c r="E125" s="90"/>
      <c r="F125" s="89"/>
      <c r="G125" s="89"/>
      <c r="H125" s="89"/>
      <c r="I125" s="89"/>
      <c r="J125" s="89"/>
      <c r="K125" s="89"/>
      <c r="L125" s="89"/>
      <c r="M125" s="89"/>
    </row>
    <row r="126" spans="2:13" x14ac:dyDescent="0.3">
      <c r="B126" s="89"/>
      <c r="C126" s="89"/>
      <c r="D126" s="90"/>
      <c r="E126" s="90"/>
      <c r="F126" s="89"/>
      <c r="G126" s="89"/>
      <c r="H126" s="89"/>
      <c r="I126" s="89"/>
      <c r="J126" s="89"/>
      <c r="K126" s="89"/>
      <c r="L126" s="89"/>
      <c r="M126" s="89"/>
    </row>
    <row r="127" spans="2:13" x14ac:dyDescent="0.3">
      <c r="B127" s="89"/>
      <c r="C127" s="89"/>
      <c r="D127" s="90"/>
      <c r="E127" s="90"/>
      <c r="F127" s="89"/>
      <c r="G127" s="89"/>
      <c r="H127" s="89"/>
      <c r="I127" s="89"/>
      <c r="J127" s="89"/>
      <c r="K127" s="89"/>
      <c r="L127" s="89"/>
      <c r="M127" s="89"/>
    </row>
    <row r="128" spans="2:13" x14ac:dyDescent="0.3">
      <c r="B128" s="89"/>
      <c r="C128" s="89"/>
      <c r="D128" s="90"/>
      <c r="E128" s="90"/>
      <c r="F128" s="89"/>
      <c r="G128" s="89"/>
      <c r="H128" s="89"/>
      <c r="I128" s="89"/>
      <c r="J128" s="89"/>
      <c r="K128" s="89"/>
      <c r="L128" s="89"/>
      <c r="M128" s="89"/>
    </row>
    <row r="129" spans="2:13" x14ac:dyDescent="0.3">
      <c r="B129" s="89"/>
      <c r="C129" s="89"/>
      <c r="D129" s="90"/>
      <c r="E129" s="90"/>
      <c r="F129" s="89"/>
      <c r="G129" s="89"/>
      <c r="H129" s="89"/>
      <c r="I129" s="89"/>
      <c r="J129" s="89"/>
      <c r="K129" s="89"/>
      <c r="L129" s="89"/>
      <c r="M129" s="89"/>
    </row>
    <row r="130" spans="2:13" x14ac:dyDescent="0.3">
      <c r="B130" s="89"/>
      <c r="C130" s="89"/>
      <c r="D130" s="90"/>
      <c r="E130" s="90"/>
      <c r="F130" s="89"/>
      <c r="G130" s="89"/>
      <c r="H130" s="89"/>
      <c r="I130" s="89"/>
      <c r="J130" s="89"/>
      <c r="K130" s="89"/>
      <c r="L130" s="89"/>
      <c r="M130" s="89"/>
    </row>
    <row r="131" spans="2:13" x14ac:dyDescent="0.3">
      <c r="B131" s="89"/>
      <c r="C131" s="89"/>
      <c r="D131" s="90"/>
      <c r="E131" s="90"/>
      <c r="F131" s="89"/>
      <c r="G131" s="89"/>
      <c r="H131" s="89"/>
      <c r="I131" s="89"/>
      <c r="J131" s="89"/>
      <c r="K131" s="89"/>
      <c r="L131" s="89"/>
      <c r="M131" s="89"/>
    </row>
    <row r="132" spans="2:13" x14ac:dyDescent="0.3">
      <c r="B132" s="89"/>
      <c r="C132" s="89"/>
      <c r="D132" s="90"/>
      <c r="E132" s="90"/>
      <c r="F132" s="89"/>
      <c r="G132" s="89"/>
      <c r="H132" s="89"/>
      <c r="I132" s="89"/>
      <c r="J132" s="89"/>
      <c r="K132" s="89"/>
      <c r="L132" s="89"/>
      <c r="M132" s="89"/>
    </row>
    <row r="133" spans="2:13" x14ac:dyDescent="0.3">
      <c r="B133" s="89"/>
      <c r="C133" s="89"/>
      <c r="D133" s="90"/>
      <c r="E133" s="90"/>
      <c r="F133" s="89"/>
      <c r="G133" s="89"/>
      <c r="H133" s="89"/>
      <c r="I133" s="89"/>
      <c r="J133" s="89"/>
      <c r="K133" s="89"/>
      <c r="L133" s="89"/>
      <c r="M133" s="89"/>
    </row>
    <row r="134" spans="2:13" x14ac:dyDescent="0.3">
      <c r="B134" s="89"/>
      <c r="C134" s="89"/>
      <c r="D134" s="90"/>
      <c r="E134" s="90"/>
      <c r="F134" s="89"/>
      <c r="G134" s="89"/>
      <c r="H134" s="89"/>
      <c r="I134" s="89"/>
      <c r="J134" s="89"/>
      <c r="K134" s="89"/>
      <c r="L134" s="89"/>
      <c r="M134" s="89"/>
    </row>
    <row r="135" spans="2:13" x14ac:dyDescent="0.3">
      <c r="B135" s="89"/>
      <c r="C135" s="89"/>
      <c r="D135" s="90"/>
      <c r="E135" s="90"/>
      <c r="F135" s="89"/>
      <c r="G135" s="89"/>
      <c r="H135" s="89"/>
      <c r="I135" s="89"/>
      <c r="J135" s="89"/>
      <c r="K135" s="89"/>
      <c r="L135" s="89"/>
      <c r="M135" s="89"/>
    </row>
    <row r="136" spans="2:13" x14ac:dyDescent="0.3">
      <c r="B136" s="89"/>
      <c r="C136" s="89"/>
      <c r="D136" s="90"/>
      <c r="E136" s="90"/>
      <c r="F136" s="89"/>
      <c r="G136" s="89"/>
      <c r="H136" s="89"/>
      <c r="I136" s="89"/>
      <c r="J136" s="89"/>
      <c r="K136" s="89"/>
      <c r="L136" s="89"/>
      <c r="M136" s="89"/>
    </row>
    <row r="137" spans="2:13" x14ac:dyDescent="0.3">
      <c r="B137" s="89"/>
      <c r="C137" s="89"/>
      <c r="D137" s="90"/>
      <c r="E137" s="90"/>
      <c r="F137" s="89"/>
      <c r="G137" s="89"/>
      <c r="H137" s="89"/>
      <c r="I137" s="89"/>
      <c r="J137" s="89"/>
      <c r="K137" s="89"/>
      <c r="L137" s="89"/>
      <c r="M137" s="89"/>
    </row>
    <row r="138" spans="2:13" x14ac:dyDescent="0.3">
      <c r="B138" s="89"/>
      <c r="C138" s="89"/>
      <c r="D138" s="90"/>
      <c r="E138" s="90"/>
      <c r="F138" s="89"/>
      <c r="G138" s="89"/>
      <c r="H138" s="89"/>
      <c r="I138" s="89"/>
      <c r="J138" s="89"/>
      <c r="K138" s="89"/>
      <c r="L138" s="89"/>
      <c r="M138" s="89"/>
    </row>
    <row r="139" spans="2:13" x14ac:dyDescent="0.3">
      <c r="B139" s="89"/>
      <c r="C139" s="89"/>
      <c r="D139" s="90"/>
      <c r="E139" s="90"/>
      <c r="F139" s="89"/>
      <c r="G139" s="89"/>
      <c r="H139" s="89"/>
      <c r="I139" s="89"/>
      <c r="J139" s="89"/>
      <c r="K139" s="89"/>
      <c r="L139" s="89"/>
      <c r="M139" s="89"/>
    </row>
    <row r="140" spans="2:13" x14ac:dyDescent="0.3">
      <c r="B140" s="89"/>
      <c r="C140" s="89"/>
      <c r="D140" s="90"/>
      <c r="E140" s="90"/>
      <c r="F140" s="89"/>
      <c r="G140" s="89"/>
      <c r="H140" s="89"/>
      <c r="I140" s="89"/>
      <c r="J140" s="89"/>
      <c r="K140" s="89"/>
      <c r="L140" s="89"/>
      <c r="M140" s="89"/>
    </row>
    <row r="141" spans="2:13" x14ac:dyDescent="0.3">
      <c r="B141" s="89"/>
      <c r="C141" s="89"/>
      <c r="D141" s="90"/>
      <c r="E141" s="90"/>
      <c r="F141" s="89"/>
      <c r="G141" s="89"/>
      <c r="H141" s="89"/>
      <c r="I141" s="89"/>
      <c r="J141" s="89"/>
      <c r="K141" s="89"/>
      <c r="L141" s="89"/>
      <c r="M141" s="89"/>
    </row>
    <row r="142" spans="2:13" x14ac:dyDescent="0.3">
      <c r="B142" s="89"/>
      <c r="C142" s="89"/>
      <c r="D142" s="90"/>
      <c r="E142" s="90"/>
      <c r="F142" s="89"/>
      <c r="G142" s="89"/>
      <c r="H142" s="89"/>
      <c r="I142" s="89"/>
      <c r="J142" s="89"/>
      <c r="K142" s="89"/>
      <c r="L142" s="89"/>
      <c r="M142" s="89"/>
    </row>
    <row r="143" spans="2:13" x14ac:dyDescent="0.3">
      <c r="B143" s="89"/>
      <c r="C143" s="89"/>
      <c r="D143" s="90"/>
      <c r="E143" s="90"/>
      <c r="F143" s="89"/>
      <c r="G143" s="89"/>
      <c r="H143" s="89"/>
      <c r="I143" s="89"/>
      <c r="J143" s="89"/>
      <c r="K143" s="89"/>
      <c r="L143" s="89"/>
      <c r="M143" s="89"/>
    </row>
    <row r="144" spans="2:13" x14ac:dyDescent="0.3">
      <c r="B144" s="89"/>
      <c r="C144" s="89"/>
      <c r="D144" s="90"/>
      <c r="E144" s="90"/>
      <c r="F144" s="89"/>
      <c r="G144" s="89"/>
      <c r="H144" s="89"/>
      <c r="I144" s="89"/>
      <c r="J144" s="89"/>
      <c r="K144" s="89"/>
      <c r="L144" s="89"/>
      <c r="M144" s="89"/>
    </row>
    <row r="145" spans="2:13" x14ac:dyDescent="0.3">
      <c r="B145" s="89"/>
      <c r="C145" s="89"/>
      <c r="D145" s="90"/>
      <c r="E145" s="90"/>
      <c r="F145" s="89"/>
      <c r="G145" s="89"/>
      <c r="H145" s="89"/>
      <c r="I145" s="89"/>
      <c r="J145" s="89"/>
      <c r="K145" s="89"/>
      <c r="L145" s="89"/>
      <c r="M145" s="89"/>
    </row>
    <row r="146" spans="2:13" x14ac:dyDescent="0.3">
      <c r="B146" s="89"/>
      <c r="C146" s="89"/>
      <c r="D146" s="90"/>
      <c r="E146" s="90"/>
      <c r="F146" s="89"/>
      <c r="G146" s="89"/>
      <c r="H146" s="89"/>
      <c r="I146" s="89"/>
      <c r="J146" s="89"/>
      <c r="K146" s="89"/>
      <c r="L146" s="89"/>
      <c r="M146" s="89"/>
    </row>
    <row r="147" spans="2:13" x14ac:dyDescent="0.3">
      <c r="B147" s="89"/>
      <c r="C147" s="89"/>
      <c r="D147" s="90"/>
      <c r="E147" s="90"/>
      <c r="F147" s="89"/>
      <c r="G147" s="89"/>
      <c r="H147" s="89"/>
      <c r="I147" s="89"/>
      <c r="J147" s="89"/>
      <c r="K147" s="89"/>
      <c r="L147" s="89"/>
      <c r="M147" s="89"/>
    </row>
    <row r="148" spans="2:13" x14ac:dyDescent="0.3">
      <c r="B148" s="89"/>
      <c r="C148" s="89"/>
      <c r="D148" s="90"/>
      <c r="E148" s="90"/>
      <c r="F148" s="89"/>
      <c r="G148" s="89"/>
      <c r="H148" s="89"/>
      <c r="I148" s="89"/>
      <c r="J148" s="89"/>
      <c r="K148" s="89"/>
      <c r="L148" s="89"/>
      <c r="M148" s="89"/>
    </row>
    <row r="149" spans="2:13" x14ac:dyDescent="0.3">
      <c r="B149" s="89"/>
      <c r="C149" s="89"/>
      <c r="D149" s="90"/>
      <c r="E149" s="90"/>
      <c r="F149" s="89"/>
      <c r="G149" s="89"/>
      <c r="H149" s="89"/>
      <c r="I149" s="89"/>
      <c r="J149" s="89"/>
      <c r="K149" s="89"/>
      <c r="L149" s="89"/>
      <c r="M149" s="89"/>
    </row>
    <row r="150" spans="2:13" x14ac:dyDescent="0.3">
      <c r="B150" s="89"/>
      <c r="C150" s="89"/>
      <c r="D150" s="90"/>
      <c r="E150" s="90"/>
      <c r="F150" s="89"/>
      <c r="G150" s="89"/>
      <c r="H150" s="89"/>
      <c r="I150" s="89"/>
      <c r="J150" s="89"/>
      <c r="K150" s="89"/>
      <c r="L150" s="89"/>
      <c r="M150" s="89"/>
    </row>
    <row r="151" spans="2:13" x14ac:dyDescent="0.3">
      <c r="B151" s="89"/>
      <c r="C151" s="89"/>
      <c r="D151" s="90"/>
      <c r="E151" s="90"/>
      <c r="F151" s="89"/>
      <c r="G151" s="89"/>
      <c r="H151" s="89"/>
      <c r="I151" s="89"/>
      <c r="J151" s="89"/>
      <c r="K151" s="89"/>
      <c r="L151" s="89"/>
      <c r="M151" s="89"/>
    </row>
    <row r="152" spans="2:13" x14ac:dyDescent="0.3">
      <c r="B152" s="89"/>
      <c r="C152" s="89"/>
      <c r="D152" s="90"/>
      <c r="E152" s="90"/>
      <c r="F152" s="89"/>
      <c r="G152" s="89"/>
      <c r="H152" s="89"/>
      <c r="I152" s="89"/>
      <c r="J152" s="89"/>
      <c r="K152" s="89"/>
      <c r="L152" s="89"/>
      <c r="M152" s="89"/>
    </row>
    <row r="153" spans="2:13" x14ac:dyDescent="0.3">
      <c r="B153" s="89"/>
      <c r="C153" s="89"/>
      <c r="D153" s="90"/>
      <c r="E153" s="90"/>
      <c r="F153" s="89"/>
      <c r="G153" s="89"/>
      <c r="H153" s="89"/>
      <c r="I153" s="89"/>
      <c r="J153" s="89"/>
      <c r="K153" s="89"/>
      <c r="L153" s="89"/>
      <c r="M153" s="89"/>
    </row>
    <row r="154" spans="2:13" x14ac:dyDescent="0.3">
      <c r="B154" s="89"/>
      <c r="C154" s="89"/>
      <c r="D154" s="90"/>
      <c r="E154" s="90"/>
      <c r="F154" s="89"/>
      <c r="G154" s="89"/>
      <c r="H154" s="89"/>
      <c r="I154" s="89"/>
      <c r="J154" s="89"/>
      <c r="K154" s="89"/>
      <c r="L154" s="89"/>
      <c r="M154" s="89"/>
    </row>
    <row r="155" spans="2:13" x14ac:dyDescent="0.3">
      <c r="B155" s="89"/>
      <c r="C155" s="89"/>
      <c r="D155" s="90"/>
      <c r="E155" s="90"/>
      <c r="F155" s="89"/>
      <c r="G155" s="89"/>
      <c r="H155" s="89"/>
      <c r="I155" s="89"/>
      <c r="J155" s="89"/>
      <c r="K155" s="89"/>
      <c r="L155" s="89"/>
      <c r="M155" s="89"/>
    </row>
    <row r="156" spans="2:13" x14ac:dyDescent="0.3">
      <c r="B156" s="89"/>
      <c r="C156" s="89"/>
      <c r="D156" s="90"/>
      <c r="E156" s="90"/>
      <c r="F156" s="89"/>
      <c r="G156" s="89"/>
      <c r="H156" s="89"/>
      <c r="I156" s="89"/>
      <c r="J156" s="89"/>
      <c r="K156" s="89"/>
      <c r="L156" s="89"/>
      <c r="M156" s="89"/>
    </row>
    <row r="157" spans="2:13" x14ac:dyDescent="0.3">
      <c r="B157" s="89"/>
      <c r="C157" s="89"/>
      <c r="D157" s="90"/>
      <c r="E157" s="90"/>
      <c r="F157" s="89"/>
      <c r="G157" s="89"/>
      <c r="H157" s="89"/>
      <c r="I157" s="89"/>
      <c r="J157" s="89"/>
      <c r="K157" s="89"/>
      <c r="L157" s="89"/>
      <c r="M157" s="89"/>
    </row>
    <row r="158" spans="2:13" x14ac:dyDescent="0.3">
      <c r="B158" s="89"/>
      <c r="C158" s="89"/>
      <c r="D158" s="90"/>
      <c r="E158" s="90"/>
      <c r="F158" s="89"/>
      <c r="G158" s="89"/>
      <c r="H158" s="89"/>
      <c r="I158" s="89"/>
      <c r="J158" s="89"/>
      <c r="K158" s="89"/>
      <c r="L158" s="89"/>
      <c r="M158" s="89"/>
    </row>
    <row r="159" spans="2:13" x14ac:dyDescent="0.3">
      <c r="B159" s="89"/>
      <c r="C159" s="89"/>
      <c r="D159" s="90"/>
      <c r="E159" s="90"/>
      <c r="F159" s="89"/>
      <c r="G159" s="89"/>
      <c r="H159" s="89"/>
      <c r="I159" s="89"/>
      <c r="J159" s="89"/>
      <c r="K159" s="89"/>
      <c r="L159" s="89"/>
      <c r="M159" s="89"/>
    </row>
    <row r="160" spans="2:13" x14ac:dyDescent="0.3">
      <c r="B160" s="89"/>
      <c r="C160" s="89"/>
      <c r="D160" s="90"/>
      <c r="E160" s="90"/>
      <c r="F160" s="89"/>
      <c r="G160" s="89"/>
      <c r="H160" s="89"/>
      <c r="I160" s="89"/>
      <c r="J160" s="89"/>
      <c r="K160" s="89"/>
      <c r="L160" s="89"/>
      <c r="M160" s="89"/>
    </row>
    <row r="161" spans="2:13" x14ac:dyDescent="0.3">
      <c r="B161" s="89"/>
      <c r="C161" s="89"/>
      <c r="D161" s="90"/>
      <c r="E161" s="90"/>
      <c r="F161" s="89"/>
      <c r="G161" s="89"/>
      <c r="H161" s="89"/>
      <c r="I161" s="89"/>
      <c r="J161" s="89"/>
      <c r="K161" s="89"/>
      <c r="L161" s="89"/>
      <c r="M161" s="89"/>
    </row>
    <row r="162" spans="2:13" x14ac:dyDescent="0.3">
      <c r="B162" s="89"/>
      <c r="C162" s="89"/>
      <c r="D162" s="90"/>
      <c r="E162" s="90"/>
      <c r="F162" s="89"/>
      <c r="G162" s="89"/>
      <c r="H162" s="89"/>
      <c r="I162" s="89"/>
      <c r="J162" s="89"/>
      <c r="K162" s="89"/>
      <c r="L162" s="89"/>
      <c r="M162" s="89"/>
    </row>
    <row r="163" spans="2:13" x14ac:dyDescent="0.3">
      <c r="B163" s="89"/>
      <c r="C163" s="89"/>
      <c r="D163" s="90"/>
      <c r="E163" s="90"/>
      <c r="F163" s="89"/>
      <c r="G163" s="89"/>
      <c r="H163" s="89"/>
      <c r="I163" s="89"/>
      <c r="J163" s="89"/>
      <c r="K163" s="89"/>
      <c r="L163" s="89"/>
      <c r="M163" s="89"/>
    </row>
    <row r="164" spans="2:13" x14ac:dyDescent="0.3">
      <c r="B164" s="89"/>
      <c r="C164" s="89"/>
      <c r="D164" s="90"/>
      <c r="E164" s="90"/>
      <c r="F164" s="89"/>
      <c r="G164" s="89"/>
      <c r="H164" s="89"/>
      <c r="I164" s="89"/>
      <c r="J164" s="89"/>
      <c r="K164" s="89"/>
      <c r="L164" s="89"/>
      <c r="M164" s="89"/>
    </row>
    <row r="165" spans="2:13" x14ac:dyDescent="0.3">
      <c r="B165" s="89"/>
      <c r="C165" s="89"/>
      <c r="D165" s="90"/>
      <c r="E165" s="90"/>
      <c r="F165" s="89"/>
      <c r="G165" s="89"/>
      <c r="H165" s="89"/>
      <c r="I165" s="89"/>
      <c r="J165" s="89"/>
      <c r="K165" s="89"/>
      <c r="L165" s="89"/>
      <c r="M165" s="89"/>
    </row>
    <row r="166" spans="2:13" x14ac:dyDescent="0.3">
      <c r="B166" s="89"/>
      <c r="C166" s="89"/>
      <c r="D166" s="90"/>
      <c r="E166" s="90"/>
      <c r="F166" s="89"/>
      <c r="G166" s="89"/>
      <c r="H166" s="89"/>
      <c r="I166" s="89"/>
      <c r="J166" s="89"/>
      <c r="K166" s="89"/>
      <c r="L166" s="89"/>
      <c r="M166" s="89"/>
    </row>
    <row r="167" spans="2:13" x14ac:dyDescent="0.3">
      <c r="B167" s="89"/>
      <c r="C167" s="89"/>
      <c r="D167" s="90"/>
      <c r="E167" s="90"/>
      <c r="F167" s="89"/>
      <c r="G167" s="89"/>
      <c r="H167" s="89"/>
      <c r="I167" s="89"/>
      <c r="J167" s="89"/>
      <c r="K167" s="89"/>
      <c r="L167" s="89"/>
      <c r="M167" s="89"/>
    </row>
    <row r="168" spans="2:13" x14ac:dyDescent="0.3">
      <c r="B168" s="89"/>
      <c r="C168" s="89"/>
      <c r="D168" s="90"/>
      <c r="E168" s="90"/>
      <c r="F168" s="89"/>
      <c r="G168" s="89"/>
      <c r="H168" s="89"/>
      <c r="I168" s="89"/>
      <c r="J168" s="89"/>
      <c r="K168" s="89"/>
      <c r="L168" s="89"/>
      <c r="M168" s="89"/>
    </row>
    <row r="169" spans="2:13" x14ac:dyDescent="0.3">
      <c r="B169" s="89"/>
      <c r="C169" s="89"/>
      <c r="D169" s="90"/>
      <c r="E169" s="90"/>
      <c r="F169" s="89"/>
      <c r="G169" s="89"/>
      <c r="H169" s="89"/>
      <c r="I169" s="89"/>
      <c r="J169" s="89"/>
      <c r="K169" s="89"/>
      <c r="L169" s="89"/>
      <c r="M169" s="89"/>
    </row>
    <row r="170" spans="2:13" x14ac:dyDescent="0.3">
      <c r="B170" s="89"/>
      <c r="C170" s="89"/>
      <c r="D170" s="90"/>
      <c r="E170" s="90"/>
      <c r="F170" s="89"/>
      <c r="G170" s="89"/>
      <c r="H170" s="89"/>
      <c r="I170" s="89"/>
      <c r="J170" s="89"/>
      <c r="K170" s="89"/>
      <c r="L170" s="89"/>
      <c r="M170" s="89"/>
    </row>
    <row r="171" spans="2:13" x14ac:dyDescent="0.3">
      <c r="B171" s="89"/>
      <c r="C171" s="89"/>
      <c r="D171" s="90"/>
      <c r="E171" s="90"/>
      <c r="F171" s="89"/>
      <c r="G171" s="89"/>
      <c r="H171" s="89"/>
      <c r="I171" s="89"/>
      <c r="J171" s="89"/>
      <c r="K171" s="89"/>
      <c r="L171" s="89"/>
      <c r="M171" s="89"/>
    </row>
    <row r="172" spans="2:13" x14ac:dyDescent="0.3">
      <c r="B172" s="89"/>
      <c r="C172" s="89"/>
      <c r="D172" s="90"/>
      <c r="E172" s="90"/>
      <c r="F172" s="89"/>
      <c r="G172" s="89"/>
      <c r="H172" s="89"/>
      <c r="I172" s="89"/>
      <c r="J172" s="89"/>
      <c r="K172" s="89"/>
      <c r="L172" s="89"/>
      <c r="M172" s="89"/>
    </row>
    <row r="173" spans="2:13" x14ac:dyDescent="0.3">
      <c r="B173" s="89"/>
      <c r="C173" s="89"/>
      <c r="D173" s="90"/>
      <c r="E173" s="90"/>
      <c r="F173" s="89"/>
      <c r="G173" s="89"/>
      <c r="H173" s="89"/>
      <c r="I173" s="89"/>
      <c r="J173" s="89"/>
      <c r="K173" s="89"/>
      <c r="L173" s="89"/>
      <c r="M173" s="89"/>
    </row>
    <row r="174" spans="2:13" x14ac:dyDescent="0.3">
      <c r="B174" s="89"/>
      <c r="C174" s="89"/>
      <c r="D174" s="90"/>
      <c r="E174" s="90"/>
      <c r="F174" s="89"/>
      <c r="G174" s="89"/>
      <c r="H174" s="89"/>
      <c r="I174" s="89"/>
      <c r="J174" s="89"/>
      <c r="K174" s="89"/>
      <c r="L174" s="89"/>
      <c r="M174" s="89"/>
    </row>
    <row r="175" spans="2:13" x14ac:dyDescent="0.3">
      <c r="B175" s="89"/>
      <c r="C175" s="89"/>
      <c r="D175" s="90"/>
      <c r="E175" s="90"/>
      <c r="F175" s="89"/>
      <c r="G175" s="89"/>
      <c r="H175" s="89"/>
      <c r="I175" s="89"/>
      <c r="J175" s="89"/>
      <c r="K175" s="89"/>
      <c r="L175" s="89"/>
      <c r="M175" s="89"/>
    </row>
    <row r="176" spans="2:13" x14ac:dyDescent="0.3">
      <c r="B176" s="89"/>
      <c r="C176" s="89"/>
      <c r="D176" s="90"/>
      <c r="E176" s="90"/>
      <c r="F176" s="89"/>
      <c r="G176" s="89"/>
      <c r="H176" s="89"/>
      <c r="I176" s="89"/>
      <c r="J176" s="89"/>
      <c r="K176" s="89"/>
      <c r="L176" s="89"/>
      <c r="M176" s="89"/>
    </row>
    <row r="177" spans="2:13" x14ac:dyDescent="0.3">
      <c r="B177" s="89"/>
      <c r="C177" s="89"/>
      <c r="D177" s="90"/>
      <c r="E177" s="90"/>
      <c r="F177" s="89"/>
      <c r="G177" s="89"/>
      <c r="H177" s="89"/>
      <c r="I177" s="89"/>
      <c r="J177" s="89"/>
      <c r="K177" s="89"/>
      <c r="L177" s="89"/>
      <c r="M177" s="89"/>
    </row>
    <row r="178" spans="2:13" x14ac:dyDescent="0.3">
      <c r="B178" s="89"/>
      <c r="C178" s="89"/>
      <c r="D178" s="90"/>
      <c r="E178" s="90"/>
      <c r="F178" s="89"/>
      <c r="G178" s="89"/>
      <c r="H178" s="89"/>
      <c r="I178" s="89"/>
      <c r="J178" s="89"/>
      <c r="K178" s="89"/>
      <c r="L178" s="89"/>
      <c r="M178" s="89"/>
    </row>
    <row r="179" spans="2:13" x14ac:dyDescent="0.3">
      <c r="B179" s="89"/>
      <c r="C179" s="89"/>
      <c r="D179" s="90"/>
      <c r="E179" s="90"/>
      <c r="F179" s="89"/>
      <c r="G179" s="89"/>
      <c r="H179" s="89"/>
      <c r="I179" s="89"/>
      <c r="J179" s="89"/>
      <c r="K179" s="89"/>
      <c r="L179" s="89"/>
      <c r="M179" s="89"/>
    </row>
    <row r="180" spans="2:13" x14ac:dyDescent="0.3">
      <c r="B180" s="89"/>
      <c r="C180" s="89"/>
      <c r="D180" s="90"/>
      <c r="E180" s="90"/>
      <c r="F180" s="89"/>
      <c r="G180" s="89"/>
      <c r="H180" s="89"/>
      <c r="I180" s="89"/>
      <c r="J180" s="89"/>
      <c r="K180" s="89"/>
      <c r="L180" s="89"/>
      <c r="M180" s="89"/>
    </row>
    <row r="181" spans="2:13" x14ac:dyDescent="0.3">
      <c r="B181" s="89"/>
      <c r="C181" s="89"/>
      <c r="D181" s="90"/>
      <c r="E181" s="90"/>
      <c r="F181" s="89"/>
      <c r="G181" s="89"/>
      <c r="H181" s="89"/>
      <c r="I181" s="89"/>
      <c r="J181" s="89"/>
      <c r="K181" s="89"/>
      <c r="L181" s="89"/>
      <c r="M181" s="89"/>
    </row>
    <row r="182" spans="2:13" x14ac:dyDescent="0.3">
      <c r="B182" s="89"/>
      <c r="C182" s="89"/>
      <c r="D182" s="90"/>
      <c r="E182" s="90"/>
      <c r="F182" s="89"/>
      <c r="G182" s="89"/>
      <c r="H182" s="89"/>
      <c r="I182" s="89"/>
      <c r="J182" s="89"/>
      <c r="K182" s="89"/>
      <c r="L182" s="89"/>
      <c r="M182" s="89"/>
    </row>
    <row r="183" spans="2:13" x14ac:dyDescent="0.3">
      <c r="B183" s="89"/>
      <c r="C183" s="89"/>
      <c r="D183" s="90"/>
      <c r="E183" s="90"/>
      <c r="F183" s="89"/>
      <c r="G183" s="89"/>
      <c r="H183" s="89"/>
      <c r="I183" s="89"/>
      <c r="J183" s="89"/>
      <c r="K183" s="89"/>
      <c r="L183" s="89"/>
      <c r="M183" s="89"/>
    </row>
    <row r="184" spans="2:13" x14ac:dyDescent="0.3">
      <c r="B184" s="89"/>
      <c r="C184" s="89"/>
      <c r="D184" s="90"/>
      <c r="E184" s="90"/>
      <c r="F184" s="89"/>
      <c r="G184" s="89"/>
      <c r="H184" s="89"/>
      <c r="I184" s="89"/>
      <c r="J184" s="89"/>
      <c r="K184" s="89"/>
      <c r="L184" s="89"/>
      <c r="M184" s="89"/>
    </row>
    <row r="185" spans="2:13" x14ac:dyDescent="0.3">
      <c r="B185" s="89"/>
      <c r="C185" s="89"/>
      <c r="D185" s="90"/>
      <c r="E185" s="90"/>
      <c r="F185" s="89"/>
      <c r="G185" s="89"/>
      <c r="H185" s="89"/>
      <c r="I185" s="89"/>
      <c r="J185" s="89"/>
      <c r="K185" s="89"/>
      <c r="L185" s="89"/>
      <c r="M185" s="89"/>
    </row>
    <row r="186" spans="2:13" x14ac:dyDescent="0.3">
      <c r="B186" s="89"/>
      <c r="C186" s="89"/>
      <c r="D186" s="90"/>
      <c r="E186" s="90"/>
      <c r="F186" s="89"/>
      <c r="G186" s="89"/>
      <c r="H186" s="89"/>
      <c r="I186" s="89"/>
      <c r="J186" s="89"/>
      <c r="K186" s="89"/>
      <c r="L186" s="89"/>
      <c r="M186" s="89"/>
    </row>
    <row r="187" spans="2:13" x14ac:dyDescent="0.3">
      <c r="B187" s="89"/>
      <c r="C187" s="89"/>
      <c r="D187" s="90"/>
      <c r="E187" s="90"/>
      <c r="F187" s="89"/>
      <c r="G187" s="89"/>
      <c r="H187" s="89"/>
      <c r="I187" s="89"/>
      <c r="J187" s="89"/>
      <c r="K187" s="89"/>
      <c r="L187" s="89"/>
      <c r="M187" s="89"/>
    </row>
    <row r="188" spans="2:13" x14ac:dyDescent="0.3">
      <c r="B188" s="89"/>
      <c r="C188" s="89"/>
      <c r="D188" s="90"/>
      <c r="E188" s="90"/>
      <c r="F188" s="89"/>
      <c r="G188" s="89"/>
      <c r="H188" s="89"/>
      <c r="I188" s="89"/>
      <c r="J188" s="89"/>
      <c r="K188" s="89"/>
      <c r="L188" s="89"/>
      <c r="M188" s="89"/>
    </row>
    <row r="189" spans="2:13" x14ac:dyDescent="0.3">
      <c r="B189" s="89"/>
      <c r="C189" s="89"/>
      <c r="D189" s="90"/>
      <c r="E189" s="90"/>
      <c r="F189" s="89"/>
      <c r="G189" s="89"/>
      <c r="H189" s="89"/>
      <c r="I189" s="89"/>
      <c r="J189" s="89"/>
      <c r="K189" s="89"/>
      <c r="L189" s="89"/>
      <c r="M189" s="89"/>
    </row>
    <row r="190" spans="2:13" x14ac:dyDescent="0.3">
      <c r="B190" s="89"/>
      <c r="C190" s="89"/>
      <c r="D190" s="90"/>
      <c r="E190" s="90"/>
      <c r="F190" s="89"/>
      <c r="G190" s="89"/>
      <c r="H190" s="89"/>
      <c r="I190" s="89"/>
      <c r="J190" s="89"/>
      <c r="K190" s="89"/>
      <c r="L190" s="89"/>
      <c r="M190" s="89"/>
    </row>
    <row r="191" spans="2:13" x14ac:dyDescent="0.3">
      <c r="B191" s="89"/>
      <c r="C191" s="89"/>
      <c r="D191" s="90"/>
      <c r="E191" s="90"/>
      <c r="F191" s="89"/>
      <c r="G191" s="89"/>
      <c r="H191" s="89"/>
      <c r="I191" s="89"/>
      <c r="J191" s="89"/>
      <c r="K191" s="89"/>
      <c r="L191" s="89"/>
      <c r="M191" s="89"/>
    </row>
    <row r="192" spans="2:13" x14ac:dyDescent="0.3">
      <c r="B192" s="89"/>
      <c r="C192" s="89"/>
      <c r="D192" s="90"/>
      <c r="E192" s="90"/>
      <c r="F192" s="89"/>
      <c r="G192" s="89"/>
      <c r="H192" s="89"/>
      <c r="I192" s="89"/>
      <c r="J192" s="89"/>
      <c r="K192" s="89"/>
      <c r="L192" s="89"/>
      <c r="M192" s="89"/>
    </row>
    <row r="193" spans="2:13" x14ac:dyDescent="0.3">
      <c r="B193" s="89"/>
      <c r="C193" s="89"/>
      <c r="D193" s="90"/>
      <c r="E193" s="90"/>
      <c r="F193" s="89"/>
      <c r="G193" s="89"/>
      <c r="H193" s="89"/>
      <c r="I193" s="89"/>
      <c r="J193" s="89"/>
      <c r="K193" s="89"/>
      <c r="L193" s="89"/>
      <c r="M193" s="89"/>
    </row>
    <row r="194" spans="2:13" x14ac:dyDescent="0.3">
      <c r="B194" s="89"/>
      <c r="C194" s="89"/>
      <c r="D194" s="90"/>
      <c r="E194" s="90"/>
      <c r="F194" s="89"/>
      <c r="G194" s="89"/>
      <c r="H194" s="89"/>
      <c r="I194" s="89"/>
      <c r="J194" s="89"/>
      <c r="K194" s="89"/>
      <c r="L194" s="89"/>
      <c r="M194" s="89"/>
    </row>
    <row r="195" spans="2:13" x14ac:dyDescent="0.3">
      <c r="B195" s="89"/>
      <c r="C195" s="89"/>
      <c r="D195" s="90"/>
      <c r="E195" s="90"/>
      <c r="F195" s="89"/>
      <c r="G195" s="89"/>
      <c r="H195" s="89"/>
      <c r="I195" s="89"/>
      <c r="J195" s="89"/>
      <c r="K195" s="89"/>
      <c r="L195" s="89"/>
      <c r="M195" s="89"/>
    </row>
    <row r="196" spans="2:13" x14ac:dyDescent="0.3">
      <c r="B196" s="89"/>
      <c r="C196" s="89"/>
      <c r="D196" s="90"/>
      <c r="E196" s="90"/>
      <c r="F196" s="89"/>
      <c r="G196" s="89"/>
      <c r="H196" s="89"/>
      <c r="I196" s="89"/>
      <c r="J196" s="89"/>
      <c r="K196" s="89"/>
      <c r="L196" s="89"/>
      <c r="M196" s="89"/>
    </row>
    <row r="197" spans="2:13" x14ac:dyDescent="0.3">
      <c r="B197" s="89"/>
      <c r="C197" s="89"/>
      <c r="D197" s="90"/>
      <c r="E197" s="90"/>
      <c r="F197" s="89"/>
      <c r="G197" s="89"/>
      <c r="H197" s="89"/>
      <c r="I197" s="89"/>
      <c r="J197" s="89"/>
      <c r="K197" s="89"/>
      <c r="L197" s="89"/>
      <c r="M197" s="89"/>
    </row>
    <row r="198" spans="2:13" x14ac:dyDescent="0.3">
      <c r="B198" s="89"/>
      <c r="C198" s="89"/>
      <c r="D198" s="90"/>
      <c r="E198" s="90"/>
      <c r="F198" s="89"/>
      <c r="G198" s="89"/>
      <c r="H198" s="89"/>
      <c r="I198" s="89"/>
      <c r="J198" s="89"/>
      <c r="K198" s="89"/>
      <c r="L198" s="89"/>
      <c r="M198" s="89"/>
    </row>
    <row r="199" spans="2:13" x14ac:dyDescent="0.3">
      <c r="B199" s="89"/>
      <c r="C199" s="89"/>
      <c r="D199" s="90"/>
      <c r="E199" s="90"/>
      <c r="F199" s="89"/>
      <c r="G199" s="89"/>
      <c r="H199" s="89"/>
      <c r="I199" s="89"/>
      <c r="J199" s="89"/>
      <c r="K199" s="89"/>
      <c r="L199" s="89"/>
      <c r="M199" s="89"/>
    </row>
    <row r="200" spans="2:13" x14ac:dyDescent="0.3">
      <c r="B200" s="89"/>
      <c r="C200" s="89"/>
      <c r="D200" s="90"/>
      <c r="E200" s="90"/>
      <c r="F200" s="89"/>
      <c r="G200" s="89"/>
      <c r="H200" s="89"/>
      <c r="I200" s="89"/>
      <c r="J200" s="89"/>
      <c r="K200" s="89"/>
      <c r="L200" s="89"/>
      <c r="M200" s="89"/>
    </row>
    <row r="201" spans="2:13" x14ac:dyDescent="0.3">
      <c r="B201" s="89"/>
      <c r="C201" s="89"/>
      <c r="D201" s="90"/>
      <c r="E201" s="90"/>
      <c r="F201" s="89"/>
      <c r="G201" s="89"/>
      <c r="H201" s="89"/>
      <c r="I201" s="89"/>
      <c r="J201" s="89"/>
      <c r="K201" s="89"/>
      <c r="L201" s="89"/>
      <c r="M201" s="89"/>
    </row>
    <row r="202" spans="2:13" x14ac:dyDescent="0.3">
      <c r="B202" s="89"/>
      <c r="C202" s="89"/>
      <c r="D202" s="90"/>
      <c r="E202" s="90"/>
      <c r="F202" s="89"/>
      <c r="G202" s="89"/>
      <c r="H202" s="89"/>
      <c r="I202" s="89"/>
      <c r="J202" s="89"/>
      <c r="K202" s="89"/>
      <c r="L202" s="89"/>
      <c r="M202" s="89"/>
    </row>
    <row r="203" spans="2:13" x14ac:dyDescent="0.3">
      <c r="B203" s="89"/>
      <c r="C203" s="89"/>
      <c r="D203" s="90"/>
      <c r="E203" s="90"/>
      <c r="F203" s="89"/>
      <c r="G203" s="89"/>
      <c r="H203" s="89"/>
      <c r="I203" s="89"/>
      <c r="J203" s="89"/>
      <c r="K203" s="89"/>
      <c r="L203" s="89"/>
      <c r="M203" s="89"/>
    </row>
    <row r="204" spans="2:13" x14ac:dyDescent="0.3">
      <c r="B204" s="89"/>
      <c r="C204" s="89"/>
      <c r="D204" s="90"/>
      <c r="E204" s="90"/>
      <c r="F204" s="89"/>
      <c r="G204" s="89"/>
      <c r="H204" s="89"/>
      <c r="I204" s="89"/>
      <c r="J204" s="89"/>
      <c r="K204" s="89"/>
      <c r="L204" s="89"/>
      <c r="M204" s="89"/>
    </row>
    <row r="205" spans="2:13" x14ac:dyDescent="0.3">
      <c r="B205" s="89"/>
      <c r="C205" s="89"/>
      <c r="D205" s="90"/>
      <c r="E205" s="90"/>
      <c r="F205" s="89"/>
      <c r="G205" s="89"/>
      <c r="H205" s="89"/>
      <c r="I205" s="89"/>
      <c r="J205" s="89"/>
      <c r="K205" s="89"/>
      <c r="L205" s="89"/>
      <c r="M205" s="89"/>
    </row>
  </sheetData>
  <mergeCells count="7">
    <mergeCell ref="B2:K2"/>
    <mergeCell ref="B11:C11"/>
    <mergeCell ref="B15:C15"/>
    <mergeCell ref="D3:E3"/>
    <mergeCell ref="F3:G3"/>
    <mergeCell ref="H3:I3"/>
    <mergeCell ref="J3:K3"/>
  </mergeCells>
  <phoneticPr fontId="25" type="noConversion"/>
  <hyperlinks>
    <hyperlink ref="O5" r:id="rId1" location=":~:text=Gi%C3%A1%20thu%C3%AA%20c%C3%B3%20s%E1%BB%B1%20t%C4%83ng,7%25%20so%20v%E1%BB%9Bi%20c%C3%B9ng%20k%E1%BB%B3." xr:uid="{BAC7A88C-589F-47B4-9C89-73BC2D379BAC}"/>
  </hyperlinks>
  <pageMargins left="0.7" right="0.7" top="0.75" bottom="0.75" header="0" footer="0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897A-1D67-4635-8F74-D594373BC263}">
  <dimension ref="B2:N189"/>
  <sheetViews>
    <sheetView zoomScale="74" workbookViewId="0">
      <selection activeCell="C21" sqref="C21"/>
    </sheetView>
  </sheetViews>
  <sheetFormatPr defaultColWidth="10.08203125" defaultRowHeight="18" x14ac:dyDescent="0.35"/>
  <cols>
    <col min="1" max="1" width="10.08203125" style="13"/>
    <col min="2" max="2" width="3.1640625" style="13" customWidth="1"/>
    <col min="3" max="3" width="24" style="13" customWidth="1"/>
    <col min="4" max="7" width="13.83203125" style="13" customWidth="1"/>
    <col min="8" max="14" width="4.33203125" style="13" customWidth="1"/>
    <col min="15" max="16384" width="10.08203125" style="13"/>
  </cols>
  <sheetData>
    <row r="2" spans="2:14" ht="24.6" x14ac:dyDescent="0.35">
      <c r="B2" s="251" t="s">
        <v>97</v>
      </c>
      <c r="C2" s="251"/>
      <c r="D2" s="251"/>
      <c r="E2" s="251"/>
      <c r="F2" s="251"/>
      <c r="G2" s="251"/>
      <c r="H2" s="61"/>
      <c r="I2" s="61"/>
      <c r="J2" s="61"/>
      <c r="K2" s="61"/>
      <c r="L2" s="61"/>
      <c r="M2" s="61"/>
      <c r="N2" s="61"/>
    </row>
    <row r="3" spans="2:14" x14ac:dyDescent="0.35">
      <c r="B3" s="80" t="s">
        <v>1</v>
      </c>
      <c r="C3" s="80" t="s">
        <v>45</v>
      </c>
      <c r="D3" s="121" t="s">
        <v>23</v>
      </c>
      <c r="E3" s="121" t="s">
        <v>29</v>
      </c>
      <c r="F3" s="121" t="s">
        <v>30</v>
      </c>
      <c r="G3" s="121" t="s">
        <v>31</v>
      </c>
      <c r="H3" s="61"/>
      <c r="I3" s="61"/>
      <c r="J3" s="61"/>
      <c r="K3" s="61"/>
      <c r="L3" s="61"/>
      <c r="M3" s="61"/>
      <c r="N3" s="61"/>
    </row>
    <row r="4" spans="2:14" x14ac:dyDescent="0.35">
      <c r="B4" s="83">
        <v>1</v>
      </c>
      <c r="C4" s="84" t="str">
        <f>'Operating Expenses'!C5</f>
        <v>Rental Expense</v>
      </c>
      <c r="D4" s="85">
        <f>'Operating Expenses'!E5</f>
        <v>96000000</v>
      </c>
      <c r="E4" s="85">
        <f>'Operating Expenses'!G5</f>
        <v>96000000</v>
      </c>
      <c r="F4" s="85">
        <f>'Operating Expenses'!I5</f>
        <v>105600000</v>
      </c>
      <c r="G4" s="85">
        <f>'Operating Expenses'!K5</f>
        <v>105600000</v>
      </c>
      <c r="H4" s="24"/>
      <c r="I4" s="24"/>
      <c r="J4" s="24"/>
      <c r="K4" s="24"/>
      <c r="L4" s="24"/>
      <c r="M4" s="24"/>
      <c r="N4" s="61"/>
    </row>
    <row r="5" spans="2:14" x14ac:dyDescent="0.35">
      <c r="B5" s="83">
        <v>4</v>
      </c>
      <c r="C5" s="84" t="str">
        <f>'Operating Expenses'!C6</f>
        <v>Salary Expenses</v>
      </c>
      <c r="D5" s="85">
        <f>'Operating Expenses'!E6</f>
        <v>517698800</v>
      </c>
      <c r="E5" s="85">
        <f>'Operating Expenses'!G6</f>
        <v>657173600</v>
      </c>
      <c r="F5" s="85">
        <f>'Operating Expenses'!I6</f>
        <v>855098600</v>
      </c>
      <c r="G5" s="85">
        <f>'Operating Expenses'!K6</f>
        <v>1144918400</v>
      </c>
      <c r="H5" s="24"/>
      <c r="I5" s="24"/>
      <c r="J5" s="24"/>
      <c r="K5" s="24"/>
      <c r="L5" s="24"/>
      <c r="M5" s="24"/>
      <c r="N5" s="61"/>
    </row>
    <row r="6" spans="2:14" x14ac:dyDescent="0.35">
      <c r="B6" s="83">
        <v>5</v>
      </c>
      <c r="C6" s="84" t="str">
        <f>'Operating Expenses'!C7</f>
        <v>Hosting</v>
      </c>
      <c r="D6" s="85">
        <f>'Operating Expenses'!E7</f>
        <v>2250000</v>
      </c>
      <c r="E6" s="85">
        <f>'Operating Expenses'!G7</f>
        <v>3150000</v>
      </c>
      <c r="F6" s="85">
        <f>'Operating Expenses'!I7</f>
        <v>4050000</v>
      </c>
      <c r="G6" s="85">
        <f>'Operating Expenses'!K7</f>
        <v>4986000</v>
      </c>
      <c r="H6" s="24"/>
      <c r="I6" s="24"/>
      <c r="J6" s="24"/>
      <c r="K6" s="24"/>
      <c r="L6" s="24"/>
      <c r="M6" s="24"/>
      <c r="N6" s="61"/>
    </row>
    <row r="7" spans="2:14" x14ac:dyDescent="0.35">
      <c r="B7" s="83">
        <v>6</v>
      </c>
      <c r="C7" s="84" t="str">
        <f>'Operating Expenses'!C8</f>
        <v>Server</v>
      </c>
      <c r="D7" s="85">
        <f>'Operating Expenses'!E8</f>
        <v>1450800</v>
      </c>
      <c r="E7" s="85">
        <f>'Operating Expenses'!G8</f>
        <v>1810800</v>
      </c>
      <c r="F7" s="85">
        <f>'Operating Expenses'!I8</f>
        <v>2722800</v>
      </c>
      <c r="G7" s="85">
        <f>'Operating Expenses'!K8</f>
        <v>5446800</v>
      </c>
      <c r="H7" s="24"/>
      <c r="I7" s="24"/>
      <c r="J7" s="24"/>
      <c r="K7" s="24"/>
      <c r="L7" s="24"/>
      <c r="M7" s="24"/>
      <c r="N7" s="61"/>
    </row>
    <row r="8" spans="2:14" x14ac:dyDescent="0.35">
      <c r="B8" s="83">
        <v>7</v>
      </c>
      <c r="C8" s="84" t="str">
        <f>'Operating Expenses'!C9</f>
        <v>Supplies Expenses</v>
      </c>
      <c r="D8" s="85">
        <f>'Operating Expenses'!E9</f>
        <v>18000000</v>
      </c>
      <c r="E8" s="85">
        <f>'Operating Expenses'!G9</f>
        <v>19440000</v>
      </c>
      <c r="F8" s="85">
        <f>'Operating Expenses'!I9</f>
        <v>20412000</v>
      </c>
      <c r="G8" s="85">
        <f>'Operating Expenses'!K9</f>
        <v>21432600</v>
      </c>
      <c r="H8" s="24"/>
      <c r="I8" s="24"/>
      <c r="J8" s="24"/>
      <c r="K8" s="24"/>
      <c r="L8" s="24"/>
      <c r="M8" s="24"/>
      <c r="N8" s="61"/>
    </row>
    <row r="9" spans="2:14" x14ac:dyDescent="0.35">
      <c r="B9" s="83">
        <v>8</v>
      </c>
      <c r="C9" s="84" t="str">
        <f>'Operating Expenses'!C10</f>
        <v>Business-license tax</v>
      </c>
      <c r="D9" s="85">
        <f>'Operating Expenses'!E10</f>
        <v>2000000</v>
      </c>
      <c r="E9" s="85">
        <f>'Operating Expenses'!G10</f>
        <v>2000000</v>
      </c>
      <c r="F9" s="85">
        <f>'Operating Expenses'!I10</f>
        <v>2000000</v>
      </c>
      <c r="G9" s="85">
        <f>'Operating Expenses'!K10</f>
        <v>2000000</v>
      </c>
      <c r="H9" s="24"/>
      <c r="I9" s="24"/>
      <c r="J9" s="24"/>
      <c r="K9" s="24"/>
      <c r="L9" s="24"/>
      <c r="M9" s="24"/>
      <c r="N9" s="61"/>
    </row>
    <row r="10" spans="2:14" x14ac:dyDescent="0.35">
      <c r="H10" s="24"/>
      <c r="I10" s="24"/>
      <c r="J10" s="24"/>
      <c r="K10" s="24"/>
      <c r="L10" s="24"/>
      <c r="M10" s="24"/>
      <c r="N10" s="61"/>
    </row>
    <row r="11" spans="2:14" x14ac:dyDescent="0.35">
      <c r="H11" s="24"/>
      <c r="I11" s="24"/>
      <c r="J11" s="24"/>
      <c r="K11" s="24"/>
      <c r="L11" s="24"/>
      <c r="M11" s="24"/>
      <c r="N11" s="61"/>
    </row>
    <row r="12" spans="2:14" x14ac:dyDescent="0.35">
      <c r="H12" s="24"/>
      <c r="I12" s="24"/>
      <c r="J12" s="24"/>
      <c r="K12" s="24"/>
      <c r="L12" s="24"/>
      <c r="M12" s="24"/>
      <c r="N12" s="61"/>
    </row>
    <row r="13" spans="2:14" ht="24.6" x14ac:dyDescent="0.35">
      <c r="B13" s="252" t="s">
        <v>98</v>
      </c>
      <c r="C13" s="251"/>
      <c r="D13" s="251"/>
      <c r="E13" s="251"/>
      <c r="F13" s="251"/>
      <c r="G13" s="251"/>
      <c r="H13" s="24"/>
      <c r="I13" s="24"/>
      <c r="J13" s="24"/>
      <c r="K13" s="24"/>
      <c r="L13" s="24"/>
      <c r="M13" s="24"/>
      <c r="N13" s="61"/>
    </row>
    <row r="14" spans="2:14" x14ac:dyDescent="0.35">
      <c r="B14" s="80" t="s">
        <v>1</v>
      </c>
      <c r="C14" s="80" t="s">
        <v>45</v>
      </c>
      <c r="D14" s="121" t="s">
        <v>23</v>
      </c>
      <c r="E14" s="121" t="s">
        <v>29</v>
      </c>
      <c r="F14" s="121" t="s">
        <v>30</v>
      </c>
      <c r="G14" s="121" t="s">
        <v>31</v>
      </c>
      <c r="H14" s="24"/>
      <c r="I14" s="24"/>
      <c r="J14" s="24"/>
      <c r="K14" s="24"/>
      <c r="L14" s="24"/>
      <c r="M14" s="24"/>
      <c r="N14" s="61"/>
    </row>
    <row r="15" spans="2:14" x14ac:dyDescent="0.35">
      <c r="B15" s="83">
        <v>1</v>
      </c>
      <c r="C15" s="84" t="str">
        <f>'Operating Expenses'!C12</f>
        <v>COGS</v>
      </c>
      <c r="D15" s="85">
        <f>'Operating Expenses'!E12</f>
        <v>1214664000</v>
      </c>
      <c r="E15" s="85">
        <f>'Operating Expenses'!G12</f>
        <v>1511556000</v>
      </c>
      <c r="F15" s="85">
        <f>'Operating Expenses'!I12</f>
        <v>1736382000</v>
      </c>
      <c r="G15" s="85">
        <f>'Operating Expenses'!K12</f>
        <v>2081730000</v>
      </c>
      <c r="H15" s="24"/>
      <c r="I15" s="24"/>
      <c r="J15" s="24"/>
      <c r="K15" s="24"/>
      <c r="L15" s="24"/>
      <c r="M15" s="24"/>
      <c r="N15" s="61"/>
    </row>
    <row r="16" spans="2:14" x14ac:dyDescent="0.35">
      <c r="B16" s="83">
        <v>3</v>
      </c>
      <c r="C16" s="84" t="str">
        <f>'Operating Expenses'!C13</f>
        <v>Marketing expense</v>
      </c>
      <c r="D16" s="85">
        <f>'Operating Expenses'!E13</f>
        <v>382716000</v>
      </c>
      <c r="E16" s="85">
        <f>'Operating Expenses'!G13</f>
        <v>476253000</v>
      </c>
      <c r="F16" s="85">
        <f>'Operating Expenses'!I13</f>
        <v>437688000</v>
      </c>
      <c r="G16" s="85">
        <f>'Operating Expenses'!K13</f>
        <v>524750400</v>
      </c>
      <c r="H16" s="24"/>
      <c r="I16" s="24"/>
      <c r="J16" s="24"/>
      <c r="K16" s="24"/>
      <c r="L16" s="24"/>
      <c r="M16" s="24"/>
      <c r="N16" s="61"/>
    </row>
    <row r="17" spans="2:14" x14ac:dyDescent="0.35">
      <c r="B17" s="83">
        <v>4</v>
      </c>
      <c r="C17" s="84" t="str">
        <f>'Operating Expenses'!C14</f>
        <v>Other expense</v>
      </c>
      <c r="D17" s="85">
        <f>'Operating Expenses'!E14</f>
        <v>14400000</v>
      </c>
      <c r="E17" s="85">
        <f>'Operating Expenses'!G14</f>
        <v>15120000</v>
      </c>
      <c r="F17" s="85">
        <f>'Operating Expenses'!I14</f>
        <v>15876000</v>
      </c>
      <c r="G17" s="85">
        <f>'Operating Expenses'!K14</f>
        <v>16669800</v>
      </c>
      <c r="H17" s="24"/>
      <c r="I17" s="24"/>
      <c r="J17" s="24"/>
      <c r="K17" s="24"/>
      <c r="L17" s="24"/>
      <c r="M17" s="24"/>
      <c r="N17" s="61"/>
    </row>
    <row r="18" spans="2:14" x14ac:dyDescent="0.35">
      <c r="H18" s="24"/>
      <c r="I18" s="24"/>
      <c r="J18" s="24"/>
      <c r="K18" s="24"/>
      <c r="L18" s="24"/>
      <c r="M18" s="24"/>
      <c r="N18" s="61"/>
    </row>
    <row r="19" spans="2:14" x14ac:dyDescent="0.35">
      <c r="H19" s="24"/>
      <c r="I19" s="24"/>
      <c r="J19" s="24"/>
      <c r="K19" s="24"/>
      <c r="L19" s="24"/>
      <c r="M19" s="24"/>
      <c r="N19" s="61"/>
    </row>
    <row r="20" spans="2:14" ht="18.75" customHeight="1" x14ac:dyDescent="0.35">
      <c r="E20" s="155" t="s">
        <v>56</v>
      </c>
      <c r="F20" s="155" t="s">
        <v>60</v>
      </c>
      <c r="G20" s="24"/>
      <c r="H20" s="24"/>
      <c r="I20" s="24"/>
      <c r="J20" s="24"/>
      <c r="K20" s="24"/>
      <c r="L20" s="24"/>
      <c r="M20" s="24"/>
      <c r="N20" s="61"/>
    </row>
    <row r="21" spans="2:14" x14ac:dyDescent="0.35">
      <c r="D21" s="121" t="s">
        <v>23</v>
      </c>
      <c r="E21" s="203">
        <f>'Operating Expenses'!E11</f>
        <v>637399600</v>
      </c>
      <c r="F21" s="203">
        <f>SUM(D15:D17)</f>
        <v>1611780000</v>
      </c>
      <c r="H21" s="24"/>
      <c r="I21" s="24"/>
      <c r="J21" s="24"/>
      <c r="K21" s="24"/>
      <c r="L21" s="24"/>
      <c r="M21" s="24"/>
      <c r="N21" s="61"/>
    </row>
    <row r="22" spans="2:14" x14ac:dyDescent="0.35">
      <c r="D22" s="121" t="s">
        <v>29</v>
      </c>
      <c r="E22" s="203">
        <f>'Operating Expenses'!G11</f>
        <v>779574400</v>
      </c>
      <c r="F22" s="203">
        <f>SUM(E15:E17)</f>
        <v>2002929000</v>
      </c>
      <c r="H22" s="24"/>
      <c r="I22" s="24"/>
      <c r="J22" s="24"/>
      <c r="K22" s="24"/>
      <c r="L22" s="24"/>
      <c r="M22" s="24"/>
      <c r="N22" s="61"/>
    </row>
    <row r="23" spans="2:14" x14ac:dyDescent="0.35">
      <c r="B23" s="24"/>
      <c r="D23" s="121" t="s">
        <v>30</v>
      </c>
      <c r="E23" s="203">
        <f>'Operating Expenses'!I11</f>
        <v>989883400</v>
      </c>
      <c r="F23" s="203">
        <f>SUM(F15:F17)</f>
        <v>2189946000</v>
      </c>
      <c r="G23" s="24"/>
      <c r="H23" s="24"/>
      <c r="I23" s="24"/>
      <c r="J23" s="24"/>
      <c r="K23" s="24"/>
      <c r="L23" s="24"/>
      <c r="M23" s="24"/>
      <c r="N23" s="61"/>
    </row>
    <row r="24" spans="2:14" ht="18.75" customHeight="1" x14ac:dyDescent="0.35">
      <c r="B24" s="24"/>
      <c r="D24" s="121" t="s">
        <v>31</v>
      </c>
      <c r="E24" s="203">
        <f>'Operating Expenses'!K11</f>
        <v>1284383800</v>
      </c>
      <c r="F24" s="203">
        <f>SUM(G15:G17)</f>
        <v>2623150200</v>
      </c>
      <c r="G24" s="24"/>
      <c r="H24" s="24"/>
      <c r="I24" s="24"/>
      <c r="J24" s="24"/>
      <c r="K24" s="24"/>
      <c r="L24" s="24"/>
      <c r="M24" s="24"/>
      <c r="N24" s="61"/>
    </row>
    <row r="25" spans="2:14" x14ac:dyDescent="0.35">
      <c r="B25" s="24"/>
      <c r="C25" s="24"/>
      <c r="H25" s="24"/>
      <c r="I25" s="24"/>
      <c r="J25" s="24"/>
      <c r="K25" s="24"/>
      <c r="L25" s="24"/>
      <c r="M25" s="24"/>
      <c r="N25" s="61"/>
    </row>
    <row r="26" spans="2:14" x14ac:dyDescent="0.35">
      <c r="B26" s="24"/>
      <c r="C26" s="24"/>
      <c r="D26" s="86"/>
      <c r="H26" s="24"/>
      <c r="I26" s="24"/>
      <c r="J26" s="24"/>
      <c r="K26" s="24"/>
      <c r="L26" s="24"/>
      <c r="M26" s="24"/>
      <c r="N26" s="61"/>
    </row>
    <row r="27" spans="2:14" x14ac:dyDescent="0.35">
      <c r="B27" s="24"/>
      <c r="C27" s="24"/>
      <c r="D27" s="86"/>
      <c r="H27" s="24"/>
      <c r="I27" s="24"/>
      <c r="J27" s="24"/>
      <c r="K27" s="24"/>
      <c r="L27" s="24"/>
      <c r="M27" s="24"/>
      <c r="N27" s="61"/>
    </row>
    <row r="28" spans="2:14" x14ac:dyDescent="0.35">
      <c r="B28" s="24"/>
      <c r="C28" s="24"/>
      <c r="D28" s="86"/>
      <c r="E28" s="24"/>
      <c r="F28" s="24"/>
      <c r="G28" s="24"/>
      <c r="H28" s="24"/>
      <c r="I28" s="24"/>
      <c r="J28" s="24"/>
      <c r="K28" s="24"/>
      <c r="L28" s="24"/>
      <c r="M28" s="24"/>
      <c r="N28" s="61"/>
    </row>
    <row r="29" spans="2:14" x14ac:dyDescent="0.35">
      <c r="B29" s="24"/>
      <c r="C29" s="24"/>
      <c r="D29" s="86"/>
      <c r="E29" s="24"/>
      <c r="F29" s="24"/>
      <c r="G29" s="24"/>
      <c r="H29" s="24"/>
      <c r="I29" s="24"/>
      <c r="J29" s="24"/>
      <c r="K29" s="24"/>
      <c r="L29" s="24"/>
      <c r="M29" s="24"/>
      <c r="N29" s="61"/>
    </row>
    <row r="30" spans="2:14" x14ac:dyDescent="0.35">
      <c r="B30" s="24"/>
      <c r="C30" s="24"/>
      <c r="D30" s="86"/>
      <c r="E30" s="24"/>
      <c r="F30" s="24"/>
      <c r="G30" s="24"/>
      <c r="H30" s="24"/>
      <c r="I30" s="24"/>
      <c r="J30" s="24"/>
      <c r="K30" s="24"/>
      <c r="L30" s="24"/>
      <c r="M30" s="24"/>
      <c r="N30" s="61"/>
    </row>
    <row r="31" spans="2:14" x14ac:dyDescent="0.35">
      <c r="B31" s="24"/>
      <c r="C31" s="24"/>
      <c r="D31" s="86"/>
      <c r="E31" s="24"/>
      <c r="F31" s="24"/>
      <c r="G31" s="24"/>
      <c r="H31" s="24"/>
      <c r="I31" s="24"/>
      <c r="J31" s="24"/>
      <c r="K31" s="24"/>
      <c r="L31" s="24"/>
      <c r="M31" s="24"/>
      <c r="N31" s="61"/>
    </row>
    <row r="32" spans="2:14" x14ac:dyDescent="0.35">
      <c r="B32" s="24"/>
      <c r="C32" s="24"/>
      <c r="D32" s="86"/>
      <c r="E32" s="24"/>
      <c r="F32" s="24"/>
      <c r="G32" s="24"/>
      <c r="H32" s="24"/>
      <c r="I32" s="24"/>
      <c r="J32" s="24"/>
      <c r="K32" s="24"/>
      <c r="L32" s="24"/>
      <c r="M32" s="24"/>
      <c r="N32" s="61"/>
    </row>
    <row r="33" spans="2:14" x14ac:dyDescent="0.35">
      <c r="B33" s="24"/>
      <c r="C33" s="24"/>
      <c r="D33" s="86"/>
      <c r="E33" s="24"/>
      <c r="F33" s="24"/>
      <c r="G33" s="24"/>
      <c r="H33" s="24"/>
      <c r="I33" s="24"/>
      <c r="J33" s="24"/>
      <c r="K33" s="24"/>
      <c r="L33" s="24"/>
      <c r="M33" s="24"/>
      <c r="N33" s="61"/>
    </row>
    <row r="34" spans="2:14" x14ac:dyDescent="0.35">
      <c r="B34" s="24"/>
      <c r="C34" s="24"/>
      <c r="D34" s="86"/>
      <c r="E34" s="24"/>
      <c r="F34" s="24"/>
      <c r="G34" s="24"/>
      <c r="H34" s="24"/>
      <c r="I34" s="24"/>
      <c r="J34" s="24"/>
      <c r="K34" s="24"/>
      <c r="L34" s="24"/>
      <c r="M34" s="24"/>
      <c r="N34" s="61"/>
    </row>
    <row r="35" spans="2:14" x14ac:dyDescent="0.35">
      <c r="B35" s="24"/>
      <c r="C35" s="24"/>
      <c r="D35" s="86"/>
      <c r="E35" s="24"/>
      <c r="F35" s="24"/>
      <c r="G35" s="24"/>
      <c r="H35" s="24"/>
      <c r="I35" s="24"/>
      <c r="J35" s="24"/>
      <c r="K35" s="24"/>
      <c r="L35" s="24"/>
      <c r="M35" s="24"/>
      <c r="N35" s="61"/>
    </row>
    <row r="36" spans="2:14" x14ac:dyDescent="0.35">
      <c r="B36" s="24"/>
      <c r="C36" s="24"/>
      <c r="D36" s="86"/>
      <c r="E36" s="24"/>
      <c r="F36" s="24"/>
      <c r="G36" s="24"/>
      <c r="H36" s="24"/>
      <c r="I36" s="24"/>
      <c r="J36" s="24"/>
      <c r="K36" s="24"/>
      <c r="L36" s="24"/>
      <c r="M36" s="24"/>
      <c r="N36" s="61"/>
    </row>
    <row r="37" spans="2:14" x14ac:dyDescent="0.35">
      <c r="B37" s="24"/>
      <c r="C37" s="24"/>
      <c r="D37" s="86"/>
      <c r="E37" s="24"/>
      <c r="F37" s="24"/>
      <c r="G37" s="24"/>
      <c r="H37" s="24"/>
      <c r="I37" s="24"/>
      <c r="J37" s="24"/>
      <c r="K37" s="24"/>
      <c r="L37" s="24"/>
      <c r="M37" s="24"/>
      <c r="N37" s="61"/>
    </row>
    <row r="38" spans="2:14" x14ac:dyDescent="0.35">
      <c r="B38" s="24"/>
      <c r="C38" s="24"/>
      <c r="D38" s="86"/>
      <c r="E38" s="24"/>
      <c r="F38" s="24"/>
      <c r="G38" s="24"/>
      <c r="H38" s="24"/>
      <c r="I38" s="24"/>
      <c r="J38" s="24"/>
      <c r="K38" s="24"/>
      <c r="L38" s="24"/>
      <c r="M38" s="24"/>
      <c r="N38" s="61"/>
    </row>
    <row r="39" spans="2:14" x14ac:dyDescent="0.35">
      <c r="B39" s="24"/>
      <c r="C39" s="24"/>
      <c r="D39" s="86"/>
      <c r="E39" s="24"/>
      <c r="F39" s="24"/>
      <c r="G39" s="24"/>
      <c r="H39" s="24"/>
      <c r="I39" s="24"/>
      <c r="J39" s="24"/>
      <c r="K39" s="24"/>
      <c r="L39" s="24"/>
      <c r="M39" s="24"/>
      <c r="N39" s="61"/>
    </row>
    <row r="40" spans="2:14" x14ac:dyDescent="0.35">
      <c r="B40" s="24"/>
      <c r="C40" s="24"/>
      <c r="D40" s="86"/>
      <c r="E40" s="24"/>
      <c r="F40" s="24"/>
      <c r="G40" s="24"/>
      <c r="H40" s="24"/>
      <c r="I40" s="24"/>
      <c r="J40" s="24"/>
      <c r="K40" s="24"/>
      <c r="L40" s="24"/>
      <c r="M40" s="24"/>
      <c r="N40" s="61"/>
    </row>
    <row r="41" spans="2:14" x14ac:dyDescent="0.35">
      <c r="B41" s="24"/>
      <c r="C41" s="24"/>
      <c r="D41" s="86"/>
      <c r="E41" s="24"/>
      <c r="F41" s="24"/>
      <c r="G41" s="24"/>
      <c r="H41" s="24"/>
      <c r="I41" s="24"/>
      <c r="J41" s="24"/>
      <c r="K41" s="24"/>
      <c r="L41" s="24"/>
      <c r="M41" s="24"/>
      <c r="N41" s="61"/>
    </row>
    <row r="42" spans="2:14" x14ac:dyDescent="0.35">
      <c r="B42" s="24"/>
      <c r="C42" s="24"/>
      <c r="D42" s="86"/>
      <c r="E42" s="24"/>
      <c r="F42" s="24"/>
      <c r="G42" s="24"/>
      <c r="H42" s="24"/>
      <c r="I42" s="24"/>
      <c r="J42" s="24"/>
      <c r="K42" s="24"/>
      <c r="L42" s="24"/>
      <c r="M42" s="24"/>
      <c r="N42" s="61"/>
    </row>
    <row r="43" spans="2:14" x14ac:dyDescent="0.35">
      <c r="B43" s="24"/>
      <c r="C43" s="24"/>
      <c r="D43" s="86"/>
      <c r="E43" s="24"/>
      <c r="F43" s="24"/>
      <c r="G43" s="24"/>
      <c r="H43" s="24"/>
      <c r="I43" s="24"/>
      <c r="J43" s="24"/>
      <c r="K43" s="24"/>
      <c r="L43" s="24"/>
      <c r="M43" s="24"/>
      <c r="N43" s="61"/>
    </row>
    <row r="44" spans="2:14" x14ac:dyDescent="0.35">
      <c r="B44" s="24"/>
      <c r="C44" s="24"/>
      <c r="D44" s="86"/>
      <c r="E44" s="24"/>
      <c r="F44" s="24"/>
      <c r="G44" s="24"/>
      <c r="H44" s="24"/>
      <c r="I44" s="24"/>
      <c r="J44" s="24"/>
      <c r="K44" s="24"/>
      <c r="L44" s="24"/>
      <c r="M44" s="24"/>
      <c r="N44" s="61"/>
    </row>
    <row r="45" spans="2:14" x14ac:dyDescent="0.35">
      <c r="B45" s="24"/>
      <c r="C45" s="24"/>
      <c r="D45" s="86"/>
      <c r="E45" s="24"/>
      <c r="F45" s="24"/>
      <c r="G45" s="24"/>
      <c r="H45" s="24"/>
      <c r="I45" s="24"/>
      <c r="J45" s="24"/>
      <c r="K45" s="24"/>
      <c r="L45" s="24"/>
      <c r="M45" s="24"/>
      <c r="N45" s="61"/>
    </row>
    <row r="46" spans="2:14" x14ac:dyDescent="0.35">
      <c r="B46" s="24"/>
      <c r="C46" s="24"/>
      <c r="D46" s="86"/>
      <c r="E46" s="24"/>
      <c r="F46" s="24"/>
      <c r="G46" s="24"/>
      <c r="H46" s="24"/>
      <c r="I46" s="24"/>
      <c r="J46" s="24"/>
      <c r="K46" s="24"/>
      <c r="L46" s="24"/>
      <c r="M46" s="24"/>
      <c r="N46" s="61"/>
    </row>
    <row r="47" spans="2:14" x14ac:dyDescent="0.35">
      <c r="B47" s="24"/>
      <c r="C47" s="24"/>
      <c r="D47" s="86"/>
      <c r="E47" s="24"/>
      <c r="F47" s="24"/>
      <c r="G47" s="24"/>
      <c r="H47" s="24"/>
      <c r="I47" s="24"/>
      <c r="J47" s="24"/>
      <c r="K47" s="24"/>
      <c r="L47" s="24"/>
      <c r="M47" s="24"/>
      <c r="N47" s="61"/>
    </row>
    <row r="48" spans="2:14" x14ac:dyDescent="0.35">
      <c r="B48" s="24"/>
      <c r="C48" s="24"/>
      <c r="D48" s="86"/>
      <c r="E48" s="24"/>
      <c r="F48" s="24"/>
      <c r="G48" s="24"/>
      <c r="H48" s="24"/>
      <c r="I48" s="24"/>
      <c r="J48" s="24"/>
      <c r="K48" s="24"/>
      <c r="L48" s="24"/>
      <c r="M48" s="24"/>
      <c r="N48" s="61"/>
    </row>
    <row r="49" spans="2:14" x14ac:dyDescent="0.35">
      <c r="B49" s="24"/>
      <c r="C49" s="24"/>
      <c r="D49" s="86"/>
      <c r="E49" s="24"/>
      <c r="F49" s="24"/>
      <c r="G49" s="24"/>
      <c r="H49" s="24"/>
      <c r="I49" s="24"/>
      <c r="J49" s="24"/>
      <c r="K49" s="24"/>
      <c r="L49" s="24"/>
      <c r="M49" s="24"/>
      <c r="N49" s="61"/>
    </row>
    <row r="50" spans="2:14" x14ac:dyDescent="0.35">
      <c r="B50" s="24"/>
      <c r="C50" s="24"/>
      <c r="D50" s="86"/>
      <c r="E50" s="24"/>
      <c r="F50" s="24"/>
      <c r="G50" s="24"/>
      <c r="H50" s="24"/>
      <c r="I50" s="24"/>
      <c r="J50" s="24"/>
      <c r="K50" s="24"/>
      <c r="L50" s="24"/>
      <c r="M50" s="24"/>
      <c r="N50" s="61"/>
    </row>
    <row r="51" spans="2:14" x14ac:dyDescent="0.35">
      <c r="B51" s="24"/>
      <c r="C51" s="24"/>
      <c r="D51" s="86"/>
      <c r="E51" s="24"/>
      <c r="F51" s="24"/>
      <c r="G51" s="24"/>
      <c r="H51" s="24"/>
      <c r="I51" s="24"/>
      <c r="J51" s="24"/>
      <c r="K51" s="24"/>
      <c r="L51" s="24"/>
      <c r="M51" s="24"/>
      <c r="N51" s="61"/>
    </row>
    <row r="52" spans="2:14" x14ac:dyDescent="0.35">
      <c r="B52" s="24"/>
      <c r="C52" s="24"/>
      <c r="D52" s="86"/>
      <c r="E52" s="24"/>
      <c r="F52" s="24"/>
      <c r="G52" s="24"/>
      <c r="H52" s="24"/>
      <c r="I52" s="24"/>
      <c r="J52" s="24"/>
      <c r="K52" s="24"/>
      <c r="L52" s="24"/>
      <c r="M52" s="24"/>
      <c r="N52" s="61"/>
    </row>
    <row r="53" spans="2:14" x14ac:dyDescent="0.35">
      <c r="B53" s="24"/>
      <c r="C53" s="24"/>
      <c r="D53" s="86"/>
      <c r="E53" s="24"/>
      <c r="F53" s="24"/>
      <c r="G53" s="24"/>
      <c r="H53" s="24"/>
      <c r="I53" s="24"/>
      <c r="J53" s="24"/>
      <c r="K53" s="24"/>
      <c r="L53" s="24"/>
      <c r="M53" s="24"/>
      <c r="N53" s="61"/>
    </row>
    <row r="54" spans="2:14" x14ac:dyDescent="0.35">
      <c r="B54" s="24"/>
      <c r="C54" s="24"/>
      <c r="D54" s="86"/>
      <c r="E54" s="24"/>
      <c r="F54" s="24"/>
      <c r="G54" s="24"/>
      <c r="H54" s="24"/>
      <c r="I54" s="24"/>
      <c r="J54" s="24"/>
      <c r="K54" s="24"/>
      <c r="L54" s="24"/>
      <c r="M54" s="24"/>
      <c r="N54" s="61"/>
    </row>
    <row r="55" spans="2:14" x14ac:dyDescent="0.35">
      <c r="B55" s="24"/>
      <c r="C55" s="24"/>
      <c r="D55" s="86"/>
      <c r="E55" s="24"/>
      <c r="F55" s="24"/>
      <c r="G55" s="24"/>
      <c r="H55" s="24"/>
      <c r="I55" s="24"/>
      <c r="J55" s="24"/>
      <c r="K55" s="24"/>
      <c r="L55" s="24"/>
      <c r="M55" s="24"/>
      <c r="N55" s="61"/>
    </row>
    <row r="56" spans="2:14" x14ac:dyDescent="0.35">
      <c r="B56" s="24"/>
      <c r="C56" s="24"/>
      <c r="D56" s="86"/>
      <c r="E56" s="24"/>
      <c r="F56" s="24"/>
      <c r="G56" s="24"/>
      <c r="H56" s="24"/>
      <c r="I56" s="24"/>
      <c r="J56" s="24"/>
      <c r="K56" s="24"/>
      <c r="L56" s="24"/>
      <c r="M56" s="24"/>
      <c r="N56" s="61"/>
    </row>
    <row r="57" spans="2:14" x14ac:dyDescent="0.35">
      <c r="B57" s="24"/>
      <c r="C57" s="24"/>
      <c r="D57" s="86"/>
      <c r="E57" s="24"/>
      <c r="F57" s="24"/>
      <c r="G57" s="24"/>
      <c r="H57" s="24"/>
      <c r="I57" s="24"/>
      <c r="J57" s="24"/>
      <c r="K57" s="24"/>
      <c r="L57" s="24"/>
      <c r="M57" s="24"/>
      <c r="N57" s="61"/>
    </row>
    <row r="58" spans="2:14" x14ac:dyDescent="0.35">
      <c r="B58" s="24"/>
      <c r="C58" s="24"/>
      <c r="D58" s="86"/>
      <c r="E58" s="24"/>
      <c r="F58" s="24"/>
      <c r="G58" s="24"/>
      <c r="H58" s="24"/>
      <c r="I58" s="24"/>
      <c r="J58" s="24"/>
      <c r="K58" s="24"/>
      <c r="L58" s="24"/>
      <c r="M58" s="24"/>
      <c r="N58" s="61"/>
    </row>
    <row r="59" spans="2:14" x14ac:dyDescent="0.35">
      <c r="B59" s="24"/>
      <c r="C59" s="24"/>
      <c r="D59" s="86"/>
      <c r="E59" s="24"/>
      <c r="F59" s="24"/>
      <c r="G59" s="24"/>
      <c r="H59" s="24"/>
      <c r="I59" s="24"/>
      <c r="J59" s="24"/>
      <c r="K59" s="24"/>
      <c r="L59" s="24"/>
      <c r="M59" s="24"/>
      <c r="N59" s="61"/>
    </row>
    <row r="60" spans="2:14" x14ac:dyDescent="0.35">
      <c r="B60" s="24"/>
      <c r="C60" s="24"/>
      <c r="D60" s="86"/>
      <c r="E60" s="24"/>
      <c r="F60" s="24"/>
      <c r="G60" s="24"/>
      <c r="H60" s="24"/>
      <c r="I60" s="24"/>
      <c r="J60" s="24"/>
      <c r="K60" s="24"/>
      <c r="L60" s="24"/>
      <c r="M60" s="24"/>
      <c r="N60" s="61"/>
    </row>
    <row r="61" spans="2:14" x14ac:dyDescent="0.35">
      <c r="B61" s="24"/>
      <c r="C61" s="24"/>
      <c r="D61" s="86"/>
      <c r="E61" s="24"/>
      <c r="F61" s="24"/>
      <c r="G61" s="24"/>
      <c r="H61" s="24"/>
      <c r="I61" s="24"/>
      <c r="J61" s="24"/>
      <c r="K61" s="24"/>
      <c r="L61" s="24"/>
      <c r="M61" s="24"/>
      <c r="N61" s="61"/>
    </row>
    <row r="62" spans="2:14" x14ac:dyDescent="0.35">
      <c r="B62" s="24"/>
      <c r="C62" s="24"/>
      <c r="D62" s="86"/>
      <c r="E62" s="24"/>
      <c r="F62" s="24"/>
      <c r="G62" s="24"/>
      <c r="H62" s="24"/>
      <c r="I62" s="24"/>
      <c r="J62" s="24"/>
      <c r="K62" s="24"/>
      <c r="L62" s="24"/>
      <c r="M62" s="24"/>
      <c r="N62" s="61"/>
    </row>
    <row r="63" spans="2:14" x14ac:dyDescent="0.35">
      <c r="B63" s="24"/>
      <c r="C63" s="24"/>
      <c r="D63" s="86"/>
      <c r="E63" s="24"/>
      <c r="F63" s="24"/>
      <c r="G63" s="24"/>
      <c r="H63" s="24"/>
      <c r="I63" s="24"/>
      <c r="J63" s="24"/>
      <c r="K63" s="24"/>
      <c r="L63" s="24"/>
      <c r="M63" s="24"/>
      <c r="N63" s="61"/>
    </row>
    <row r="64" spans="2:14" x14ac:dyDescent="0.35">
      <c r="B64" s="24"/>
      <c r="C64" s="24"/>
      <c r="D64" s="86"/>
      <c r="E64" s="24"/>
      <c r="F64" s="24"/>
      <c r="G64" s="24"/>
      <c r="H64" s="24"/>
      <c r="I64" s="24"/>
      <c r="J64" s="24"/>
      <c r="K64" s="24"/>
      <c r="L64" s="24"/>
      <c r="M64" s="24"/>
      <c r="N64" s="61"/>
    </row>
    <row r="65" spans="2:14" x14ac:dyDescent="0.35">
      <c r="B65" s="24"/>
      <c r="C65" s="24"/>
      <c r="D65" s="86"/>
      <c r="E65" s="24"/>
      <c r="F65" s="24"/>
      <c r="G65" s="24"/>
      <c r="H65" s="24"/>
      <c r="I65" s="24"/>
      <c r="J65" s="24"/>
      <c r="K65" s="24"/>
      <c r="L65" s="24"/>
      <c r="M65" s="24"/>
      <c r="N65" s="61"/>
    </row>
    <row r="66" spans="2:14" x14ac:dyDescent="0.35">
      <c r="B66" s="24"/>
      <c r="C66" s="24"/>
      <c r="D66" s="86"/>
      <c r="E66" s="24"/>
      <c r="F66" s="24"/>
      <c r="G66" s="24"/>
      <c r="H66" s="24"/>
      <c r="I66" s="24"/>
      <c r="J66" s="24"/>
      <c r="K66" s="24"/>
      <c r="L66" s="24"/>
      <c r="M66" s="24"/>
      <c r="N66" s="61"/>
    </row>
    <row r="67" spans="2:14" x14ac:dyDescent="0.35">
      <c r="B67" s="24"/>
      <c r="C67" s="24"/>
      <c r="D67" s="86"/>
      <c r="E67" s="24"/>
      <c r="F67" s="24"/>
      <c r="G67" s="24"/>
      <c r="H67" s="24"/>
      <c r="I67" s="24"/>
      <c r="J67" s="24"/>
      <c r="K67" s="24"/>
      <c r="L67" s="24"/>
      <c r="M67" s="24"/>
      <c r="N67" s="61"/>
    </row>
    <row r="68" spans="2:14" x14ac:dyDescent="0.35">
      <c r="B68" s="24"/>
      <c r="C68" s="24"/>
      <c r="D68" s="86"/>
      <c r="E68" s="24"/>
      <c r="F68" s="24"/>
      <c r="G68" s="24"/>
      <c r="H68" s="24"/>
      <c r="I68" s="24"/>
      <c r="J68" s="24"/>
      <c r="K68" s="24"/>
      <c r="L68" s="24"/>
      <c r="M68" s="24"/>
      <c r="N68" s="61"/>
    </row>
    <row r="69" spans="2:14" x14ac:dyDescent="0.35">
      <c r="B69" s="24"/>
      <c r="C69" s="24"/>
      <c r="D69" s="86"/>
      <c r="E69" s="24"/>
      <c r="F69" s="24"/>
      <c r="G69" s="24"/>
      <c r="H69" s="24"/>
      <c r="I69" s="24"/>
      <c r="J69" s="24"/>
      <c r="K69" s="24"/>
      <c r="L69" s="24"/>
      <c r="M69" s="24"/>
      <c r="N69" s="61"/>
    </row>
    <row r="70" spans="2:14" x14ac:dyDescent="0.35">
      <c r="B70" s="24"/>
      <c r="C70" s="24"/>
      <c r="D70" s="86"/>
      <c r="E70" s="24"/>
      <c r="F70" s="24"/>
      <c r="G70" s="24"/>
      <c r="H70" s="24"/>
      <c r="I70" s="24"/>
      <c r="J70" s="24"/>
      <c r="K70" s="24"/>
      <c r="L70" s="24"/>
      <c r="M70" s="24"/>
      <c r="N70" s="61"/>
    </row>
    <row r="71" spans="2:14" x14ac:dyDescent="0.35">
      <c r="B71" s="24"/>
      <c r="C71" s="24"/>
      <c r="D71" s="86"/>
      <c r="E71" s="24"/>
      <c r="F71" s="24"/>
      <c r="G71" s="24"/>
      <c r="H71" s="24"/>
      <c r="I71" s="24"/>
      <c r="J71" s="24"/>
      <c r="K71" s="24"/>
      <c r="L71" s="24"/>
      <c r="M71" s="24"/>
      <c r="N71" s="61"/>
    </row>
    <row r="72" spans="2:14" x14ac:dyDescent="0.35">
      <c r="B72" s="24"/>
      <c r="C72" s="24"/>
      <c r="D72" s="86"/>
      <c r="E72" s="24"/>
      <c r="F72" s="24"/>
      <c r="G72" s="24"/>
      <c r="H72" s="24"/>
      <c r="I72" s="24"/>
      <c r="J72" s="24"/>
      <c r="K72" s="24"/>
      <c r="L72" s="24"/>
      <c r="M72" s="24"/>
      <c r="N72" s="61"/>
    </row>
    <row r="73" spans="2:14" x14ac:dyDescent="0.35">
      <c r="B73" s="24"/>
      <c r="C73" s="24"/>
      <c r="D73" s="86"/>
      <c r="E73" s="24"/>
      <c r="F73" s="24"/>
      <c r="G73" s="24"/>
      <c r="H73" s="24"/>
      <c r="I73" s="24"/>
      <c r="J73" s="24"/>
      <c r="K73" s="24"/>
      <c r="L73" s="24"/>
      <c r="M73" s="24"/>
      <c r="N73" s="61"/>
    </row>
    <row r="74" spans="2:14" x14ac:dyDescent="0.35">
      <c r="B74" s="24"/>
      <c r="C74" s="24"/>
      <c r="D74" s="86"/>
      <c r="E74" s="24"/>
      <c r="F74" s="24"/>
      <c r="G74" s="24"/>
      <c r="H74" s="24"/>
      <c r="I74" s="24"/>
      <c r="J74" s="24"/>
      <c r="K74" s="24"/>
      <c r="L74" s="24"/>
      <c r="M74" s="24"/>
      <c r="N74" s="61"/>
    </row>
    <row r="75" spans="2:14" x14ac:dyDescent="0.35">
      <c r="B75" s="24"/>
      <c r="C75" s="24"/>
      <c r="D75" s="86"/>
      <c r="E75" s="24"/>
      <c r="F75" s="24"/>
      <c r="G75" s="24"/>
      <c r="H75" s="24"/>
      <c r="I75" s="24"/>
      <c r="J75" s="24"/>
      <c r="K75" s="24"/>
      <c r="L75" s="24"/>
      <c r="M75" s="24"/>
      <c r="N75" s="61"/>
    </row>
    <row r="76" spans="2:14" x14ac:dyDescent="0.35">
      <c r="B76" s="24"/>
      <c r="C76" s="24"/>
      <c r="D76" s="86"/>
      <c r="E76" s="24"/>
      <c r="F76" s="24"/>
      <c r="G76" s="24"/>
      <c r="H76" s="24"/>
      <c r="I76" s="24"/>
      <c r="J76" s="24"/>
      <c r="K76" s="24"/>
      <c r="L76" s="24"/>
      <c r="M76" s="24"/>
      <c r="N76" s="61"/>
    </row>
    <row r="77" spans="2:14" x14ac:dyDescent="0.35">
      <c r="B77" s="24"/>
      <c r="C77" s="24"/>
      <c r="D77" s="86"/>
      <c r="E77" s="24"/>
      <c r="F77" s="24"/>
      <c r="G77" s="24"/>
      <c r="H77" s="24"/>
      <c r="I77" s="24"/>
      <c r="J77" s="24"/>
      <c r="K77" s="24"/>
      <c r="L77" s="24"/>
      <c r="M77" s="24"/>
      <c r="N77" s="61"/>
    </row>
    <row r="78" spans="2:14" x14ac:dyDescent="0.35">
      <c r="B78" s="24"/>
      <c r="C78" s="24"/>
      <c r="D78" s="86"/>
      <c r="E78" s="24"/>
      <c r="F78" s="24"/>
      <c r="G78" s="24"/>
      <c r="H78" s="24"/>
      <c r="I78" s="24"/>
      <c r="J78" s="24"/>
      <c r="K78" s="24"/>
      <c r="L78" s="24"/>
      <c r="M78" s="24"/>
      <c r="N78" s="61"/>
    </row>
    <row r="79" spans="2:14" x14ac:dyDescent="0.35">
      <c r="B79" s="24"/>
      <c r="C79" s="24"/>
      <c r="D79" s="86"/>
      <c r="E79" s="24"/>
      <c r="F79" s="24"/>
      <c r="G79" s="24"/>
      <c r="H79" s="24"/>
      <c r="I79" s="24"/>
      <c r="J79" s="24"/>
      <c r="K79" s="24"/>
      <c r="L79" s="24"/>
      <c r="M79" s="24"/>
      <c r="N79" s="61"/>
    </row>
    <row r="80" spans="2:14" x14ac:dyDescent="0.35">
      <c r="B80" s="24"/>
      <c r="C80" s="24"/>
      <c r="D80" s="86"/>
      <c r="E80" s="24"/>
      <c r="F80" s="24"/>
      <c r="G80" s="24"/>
      <c r="H80" s="24"/>
      <c r="I80" s="24"/>
      <c r="J80" s="24"/>
      <c r="K80" s="24"/>
      <c r="L80" s="24"/>
      <c r="M80" s="24"/>
      <c r="N80" s="61"/>
    </row>
    <row r="81" spans="2:14" x14ac:dyDescent="0.35">
      <c r="B81" s="24"/>
      <c r="C81" s="24"/>
      <c r="D81" s="86"/>
      <c r="E81" s="24"/>
      <c r="F81" s="24"/>
      <c r="G81" s="24"/>
      <c r="H81" s="24"/>
      <c r="I81" s="24"/>
      <c r="J81" s="24"/>
      <c r="K81" s="24"/>
      <c r="L81" s="24"/>
      <c r="M81" s="24"/>
      <c r="N81" s="61"/>
    </row>
    <row r="82" spans="2:14" x14ac:dyDescent="0.35">
      <c r="B82" s="24"/>
      <c r="C82" s="24"/>
      <c r="D82" s="86"/>
      <c r="E82" s="24"/>
      <c r="F82" s="24"/>
      <c r="G82" s="24"/>
      <c r="H82" s="24"/>
      <c r="I82" s="24"/>
      <c r="J82" s="24"/>
      <c r="K82" s="24"/>
      <c r="L82" s="24"/>
      <c r="M82" s="24"/>
      <c r="N82" s="61"/>
    </row>
    <row r="83" spans="2:14" x14ac:dyDescent="0.35">
      <c r="B83" s="24"/>
      <c r="C83" s="24"/>
      <c r="D83" s="86"/>
      <c r="E83" s="24"/>
      <c r="F83" s="24"/>
      <c r="G83" s="24"/>
      <c r="H83" s="24"/>
      <c r="I83" s="24"/>
      <c r="J83" s="24"/>
      <c r="K83" s="24"/>
      <c r="L83" s="24"/>
      <c r="M83" s="24"/>
      <c r="N83" s="61"/>
    </row>
    <row r="84" spans="2:14" x14ac:dyDescent="0.35">
      <c r="B84" s="24"/>
      <c r="C84" s="24"/>
      <c r="D84" s="86"/>
      <c r="E84" s="24"/>
      <c r="F84" s="24"/>
      <c r="G84" s="24"/>
      <c r="H84" s="24"/>
      <c r="I84" s="24"/>
      <c r="J84" s="24"/>
      <c r="K84" s="24"/>
      <c r="L84" s="24"/>
      <c r="M84" s="24"/>
      <c r="N84" s="61"/>
    </row>
    <row r="85" spans="2:14" x14ac:dyDescent="0.35">
      <c r="B85" s="24"/>
      <c r="C85" s="24"/>
      <c r="D85" s="86"/>
      <c r="E85" s="24"/>
      <c r="F85" s="24"/>
      <c r="G85" s="24"/>
      <c r="H85" s="24"/>
      <c r="I85" s="24"/>
      <c r="J85" s="24"/>
      <c r="K85" s="24"/>
      <c r="L85" s="24"/>
      <c r="M85" s="24"/>
      <c r="N85" s="61"/>
    </row>
    <row r="86" spans="2:14" x14ac:dyDescent="0.35">
      <c r="B86" s="24"/>
      <c r="C86" s="24"/>
      <c r="D86" s="86"/>
      <c r="E86" s="24"/>
      <c r="F86" s="24"/>
      <c r="G86" s="24"/>
      <c r="H86" s="24"/>
      <c r="I86" s="24"/>
      <c r="J86" s="24"/>
      <c r="K86" s="24"/>
      <c r="L86" s="24"/>
      <c r="M86" s="24"/>
      <c r="N86" s="61"/>
    </row>
    <row r="87" spans="2:14" x14ac:dyDescent="0.35">
      <c r="B87" s="24"/>
      <c r="C87" s="24"/>
      <c r="D87" s="86"/>
      <c r="E87" s="24"/>
      <c r="F87" s="24"/>
      <c r="G87" s="24"/>
      <c r="H87" s="24"/>
      <c r="I87" s="24"/>
      <c r="J87" s="24"/>
      <c r="K87" s="24"/>
      <c r="L87" s="24"/>
      <c r="M87" s="24"/>
      <c r="N87" s="61"/>
    </row>
    <row r="88" spans="2:14" x14ac:dyDescent="0.35">
      <c r="B88" s="24"/>
      <c r="C88" s="24"/>
      <c r="D88" s="86"/>
      <c r="E88" s="24"/>
      <c r="F88" s="24"/>
      <c r="G88" s="24"/>
      <c r="H88" s="24"/>
      <c r="I88" s="24"/>
      <c r="J88" s="24"/>
      <c r="K88" s="24"/>
      <c r="L88" s="24"/>
      <c r="M88" s="24"/>
      <c r="N88" s="61"/>
    </row>
    <row r="89" spans="2:14" x14ac:dyDescent="0.35">
      <c r="B89" s="24"/>
      <c r="C89" s="24"/>
      <c r="D89" s="86"/>
      <c r="E89" s="24"/>
      <c r="F89" s="24"/>
      <c r="G89" s="24"/>
      <c r="H89" s="24"/>
      <c r="I89" s="24"/>
      <c r="J89" s="24"/>
      <c r="K89" s="24"/>
      <c r="L89" s="24"/>
      <c r="M89" s="24"/>
      <c r="N89" s="61"/>
    </row>
    <row r="90" spans="2:14" x14ac:dyDescent="0.35">
      <c r="B90" s="24"/>
      <c r="C90" s="24"/>
      <c r="D90" s="86"/>
      <c r="E90" s="24"/>
      <c r="F90" s="24"/>
      <c r="G90" s="24"/>
      <c r="H90" s="24"/>
      <c r="I90" s="24"/>
      <c r="J90" s="24"/>
      <c r="K90" s="24"/>
      <c r="L90" s="24"/>
      <c r="M90" s="24"/>
      <c r="N90" s="61"/>
    </row>
    <row r="91" spans="2:14" x14ac:dyDescent="0.35">
      <c r="B91" s="24"/>
      <c r="C91" s="24"/>
      <c r="D91" s="86"/>
      <c r="E91" s="24"/>
      <c r="F91" s="24"/>
      <c r="G91" s="24"/>
      <c r="H91" s="24"/>
      <c r="I91" s="24"/>
      <c r="J91" s="24"/>
      <c r="K91" s="24"/>
      <c r="L91" s="24"/>
      <c r="M91" s="24"/>
      <c r="N91" s="61"/>
    </row>
    <row r="92" spans="2:14" x14ac:dyDescent="0.35">
      <c r="B92" s="24"/>
      <c r="C92" s="24"/>
      <c r="D92" s="86"/>
      <c r="E92" s="24"/>
      <c r="F92" s="24"/>
      <c r="G92" s="24"/>
      <c r="H92" s="24"/>
      <c r="I92" s="24"/>
      <c r="J92" s="24"/>
      <c r="K92" s="24"/>
      <c r="L92" s="24"/>
      <c r="M92" s="24"/>
      <c r="N92" s="61"/>
    </row>
    <row r="93" spans="2:14" x14ac:dyDescent="0.35">
      <c r="B93" s="24"/>
      <c r="C93" s="24"/>
      <c r="D93" s="86"/>
      <c r="E93" s="24"/>
      <c r="F93" s="24"/>
      <c r="G93" s="24"/>
      <c r="H93" s="24"/>
      <c r="I93" s="24"/>
      <c r="J93" s="24"/>
      <c r="K93" s="24"/>
      <c r="L93" s="24"/>
      <c r="M93" s="24"/>
      <c r="N93" s="61"/>
    </row>
    <row r="94" spans="2:14" x14ac:dyDescent="0.35">
      <c r="B94" s="24"/>
      <c r="C94" s="24"/>
      <c r="D94" s="86"/>
      <c r="E94" s="24"/>
      <c r="F94" s="24"/>
      <c r="G94" s="24"/>
      <c r="H94" s="24"/>
      <c r="I94" s="24"/>
      <c r="J94" s="24"/>
      <c r="K94" s="24"/>
      <c r="L94" s="24"/>
      <c r="M94" s="24"/>
      <c r="N94" s="61"/>
    </row>
    <row r="95" spans="2:14" x14ac:dyDescent="0.35">
      <c r="B95" s="24"/>
      <c r="C95" s="24"/>
      <c r="D95" s="86"/>
      <c r="E95" s="24"/>
      <c r="F95" s="24"/>
      <c r="G95" s="24"/>
      <c r="H95" s="24"/>
      <c r="I95" s="24"/>
      <c r="J95" s="24"/>
      <c r="K95" s="24"/>
      <c r="L95" s="24"/>
      <c r="M95" s="24"/>
      <c r="N95" s="61"/>
    </row>
    <row r="96" spans="2:14" x14ac:dyDescent="0.35">
      <c r="B96" s="24"/>
      <c r="C96" s="24"/>
      <c r="D96" s="86"/>
      <c r="E96" s="24"/>
      <c r="F96" s="24"/>
      <c r="G96" s="24"/>
      <c r="H96" s="24"/>
      <c r="I96" s="24"/>
      <c r="J96" s="24"/>
      <c r="K96" s="24"/>
      <c r="L96" s="24"/>
      <c r="M96" s="24"/>
      <c r="N96" s="61"/>
    </row>
    <row r="97" spans="2:14" x14ac:dyDescent="0.35">
      <c r="B97" s="24"/>
      <c r="C97" s="24"/>
      <c r="D97" s="86"/>
      <c r="E97" s="24"/>
      <c r="F97" s="24"/>
      <c r="G97" s="24"/>
      <c r="H97" s="24"/>
      <c r="I97" s="24"/>
      <c r="J97" s="24"/>
      <c r="K97" s="24"/>
      <c r="L97" s="24"/>
      <c r="M97" s="24"/>
      <c r="N97" s="61"/>
    </row>
    <row r="98" spans="2:14" x14ac:dyDescent="0.35">
      <c r="B98" s="24"/>
      <c r="C98" s="24"/>
      <c r="D98" s="86"/>
      <c r="E98" s="24"/>
      <c r="F98" s="24"/>
      <c r="G98" s="24"/>
      <c r="H98" s="24"/>
      <c r="I98" s="24"/>
      <c r="J98" s="24"/>
      <c r="K98" s="24"/>
      <c r="L98" s="24"/>
      <c r="M98" s="24"/>
      <c r="N98" s="61"/>
    </row>
    <row r="99" spans="2:14" x14ac:dyDescent="0.35">
      <c r="B99" s="24"/>
      <c r="C99" s="24"/>
      <c r="D99" s="86"/>
      <c r="E99" s="24"/>
      <c r="F99" s="24"/>
      <c r="G99" s="24"/>
      <c r="H99" s="24"/>
      <c r="I99" s="24"/>
      <c r="J99" s="24"/>
      <c r="K99" s="24"/>
      <c r="L99" s="24"/>
      <c r="M99" s="24"/>
      <c r="N99" s="61"/>
    </row>
    <row r="100" spans="2:14" x14ac:dyDescent="0.35">
      <c r="B100" s="24"/>
      <c r="C100" s="24"/>
      <c r="D100" s="86"/>
      <c r="E100" s="24"/>
      <c r="F100" s="24"/>
      <c r="G100" s="24"/>
      <c r="H100" s="24"/>
      <c r="I100" s="24"/>
      <c r="J100" s="24"/>
      <c r="K100" s="24"/>
      <c r="L100" s="24"/>
      <c r="M100" s="24"/>
      <c r="N100" s="61"/>
    </row>
    <row r="101" spans="2:14" x14ac:dyDescent="0.35">
      <c r="B101" s="24"/>
      <c r="C101" s="24"/>
      <c r="D101" s="86"/>
      <c r="E101" s="24"/>
      <c r="F101" s="24"/>
      <c r="G101" s="24"/>
      <c r="H101" s="24"/>
      <c r="I101" s="24"/>
      <c r="J101" s="24"/>
      <c r="K101" s="24"/>
      <c r="L101" s="24"/>
      <c r="M101" s="24"/>
      <c r="N101" s="61"/>
    </row>
    <row r="102" spans="2:14" x14ac:dyDescent="0.35">
      <c r="B102" s="24"/>
      <c r="C102" s="24"/>
      <c r="D102" s="86"/>
      <c r="E102" s="24"/>
      <c r="F102" s="24"/>
      <c r="G102" s="24"/>
      <c r="H102" s="24"/>
      <c r="I102" s="24"/>
      <c r="J102" s="24"/>
      <c r="K102" s="24"/>
      <c r="L102" s="24"/>
      <c r="M102" s="24"/>
      <c r="N102" s="61"/>
    </row>
    <row r="103" spans="2:14" x14ac:dyDescent="0.35">
      <c r="B103" s="24"/>
      <c r="C103" s="24"/>
      <c r="D103" s="86"/>
      <c r="E103" s="24"/>
      <c r="F103" s="24"/>
      <c r="G103" s="24"/>
      <c r="H103" s="24"/>
      <c r="I103" s="24"/>
      <c r="J103" s="24"/>
      <c r="K103" s="24"/>
      <c r="L103" s="24"/>
      <c r="M103" s="24"/>
      <c r="N103" s="61"/>
    </row>
    <row r="104" spans="2:14" x14ac:dyDescent="0.35">
      <c r="B104" s="24"/>
      <c r="C104" s="24"/>
      <c r="D104" s="86"/>
      <c r="E104" s="24"/>
      <c r="F104" s="24"/>
      <c r="G104" s="24"/>
      <c r="H104" s="24"/>
      <c r="I104" s="24"/>
      <c r="J104" s="24"/>
      <c r="K104" s="24"/>
      <c r="L104" s="24"/>
      <c r="M104" s="24"/>
      <c r="N104" s="61"/>
    </row>
    <row r="105" spans="2:14" x14ac:dyDescent="0.35">
      <c r="B105" s="24"/>
      <c r="C105" s="24"/>
      <c r="D105" s="86"/>
      <c r="E105" s="24"/>
      <c r="F105" s="24"/>
      <c r="G105" s="24"/>
      <c r="H105" s="24"/>
      <c r="I105" s="24"/>
      <c r="J105" s="24"/>
      <c r="K105" s="24"/>
      <c r="L105" s="24"/>
      <c r="M105" s="24"/>
      <c r="N105" s="61"/>
    </row>
    <row r="106" spans="2:14" x14ac:dyDescent="0.35">
      <c r="B106" s="24"/>
      <c r="C106" s="24"/>
      <c r="D106" s="86"/>
      <c r="E106" s="24"/>
      <c r="F106" s="24"/>
      <c r="G106" s="24"/>
      <c r="H106" s="24"/>
      <c r="I106" s="24"/>
      <c r="J106" s="24"/>
      <c r="K106" s="24"/>
      <c r="L106" s="24"/>
      <c r="M106" s="24"/>
      <c r="N106" s="61"/>
    </row>
    <row r="107" spans="2:14" x14ac:dyDescent="0.35">
      <c r="B107" s="24"/>
      <c r="C107" s="24"/>
      <c r="D107" s="86"/>
      <c r="E107" s="24"/>
      <c r="F107" s="24"/>
      <c r="G107" s="24"/>
      <c r="H107" s="24"/>
      <c r="I107" s="24"/>
      <c r="J107" s="24"/>
      <c r="K107" s="24"/>
      <c r="L107" s="24"/>
      <c r="M107" s="24"/>
      <c r="N107" s="61"/>
    </row>
    <row r="108" spans="2:14" x14ac:dyDescent="0.35">
      <c r="B108" s="24"/>
      <c r="C108" s="24"/>
      <c r="D108" s="86"/>
      <c r="E108" s="24"/>
      <c r="F108" s="24"/>
      <c r="G108" s="24"/>
      <c r="H108" s="24"/>
      <c r="I108" s="24"/>
      <c r="J108" s="24"/>
      <c r="K108" s="24"/>
      <c r="L108" s="24"/>
      <c r="M108" s="24"/>
      <c r="N108" s="61"/>
    </row>
    <row r="109" spans="2:14" x14ac:dyDescent="0.35">
      <c r="B109" s="24"/>
      <c r="C109" s="24"/>
      <c r="D109" s="86"/>
      <c r="E109" s="24"/>
      <c r="F109" s="24"/>
      <c r="G109" s="24"/>
      <c r="H109" s="24"/>
      <c r="I109" s="24"/>
      <c r="J109" s="24"/>
      <c r="K109" s="24"/>
      <c r="L109" s="24"/>
      <c r="M109" s="24"/>
      <c r="N109" s="61"/>
    </row>
    <row r="110" spans="2:14" x14ac:dyDescent="0.35">
      <c r="B110" s="24"/>
      <c r="C110" s="24"/>
      <c r="D110" s="86"/>
      <c r="E110" s="24"/>
      <c r="F110" s="24"/>
      <c r="G110" s="24"/>
      <c r="H110" s="24"/>
      <c r="I110" s="24"/>
      <c r="J110" s="24"/>
      <c r="K110" s="24"/>
      <c r="L110" s="24"/>
      <c r="M110" s="24"/>
      <c r="N110" s="61"/>
    </row>
    <row r="111" spans="2:14" x14ac:dyDescent="0.35">
      <c r="B111" s="24"/>
      <c r="C111" s="24"/>
      <c r="D111" s="86"/>
      <c r="E111" s="24"/>
      <c r="F111" s="24"/>
      <c r="G111" s="24"/>
      <c r="H111" s="24"/>
      <c r="I111" s="24"/>
      <c r="J111" s="24"/>
      <c r="K111" s="24"/>
      <c r="L111" s="24"/>
      <c r="M111" s="24"/>
      <c r="N111" s="61"/>
    </row>
    <row r="112" spans="2:14" x14ac:dyDescent="0.35">
      <c r="B112" s="24"/>
      <c r="C112" s="24"/>
      <c r="D112" s="86"/>
      <c r="E112" s="24"/>
      <c r="F112" s="24"/>
      <c r="G112" s="24"/>
      <c r="H112" s="24"/>
      <c r="I112" s="24"/>
      <c r="J112" s="24"/>
      <c r="K112" s="24"/>
      <c r="L112" s="24"/>
      <c r="M112" s="24"/>
      <c r="N112" s="61"/>
    </row>
    <row r="113" spans="2:14" x14ac:dyDescent="0.35">
      <c r="B113" s="24"/>
      <c r="C113" s="24"/>
      <c r="D113" s="86"/>
      <c r="E113" s="24"/>
      <c r="F113" s="24"/>
      <c r="G113" s="24"/>
      <c r="H113" s="24"/>
      <c r="I113" s="24"/>
      <c r="J113" s="24"/>
      <c r="K113" s="24"/>
      <c r="L113" s="24"/>
      <c r="M113" s="24"/>
      <c r="N113" s="61"/>
    </row>
    <row r="114" spans="2:14" x14ac:dyDescent="0.35">
      <c r="B114" s="24"/>
      <c r="C114" s="24"/>
      <c r="D114" s="86"/>
      <c r="E114" s="24"/>
      <c r="F114" s="24"/>
      <c r="G114" s="24"/>
      <c r="H114" s="24"/>
      <c r="I114" s="24"/>
      <c r="J114" s="24"/>
      <c r="K114" s="24"/>
      <c r="L114" s="24"/>
      <c r="M114" s="24"/>
      <c r="N114" s="61"/>
    </row>
    <row r="115" spans="2:14" x14ac:dyDescent="0.35">
      <c r="B115" s="24"/>
      <c r="C115" s="24"/>
      <c r="D115" s="86"/>
      <c r="E115" s="24"/>
      <c r="F115" s="24"/>
      <c r="G115" s="24"/>
      <c r="H115" s="24"/>
      <c r="I115" s="24"/>
      <c r="J115" s="24"/>
      <c r="K115" s="24"/>
      <c r="L115" s="24"/>
      <c r="M115" s="24"/>
      <c r="N115" s="61"/>
    </row>
    <row r="116" spans="2:14" x14ac:dyDescent="0.35">
      <c r="B116" s="24"/>
      <c r="C116" s="24"/>
      <c r="D116" s="86"/>
      <c r="E116" s="24"/>
      <c r="F116" s="24"/>
      <c r="G116" s="24"/>
      <c r="H116" s="24"/>
      <c r="I116" s="24"/>
      <c r="J116" s="24"/>
      <c r="K116" s="24"/>
      <c r="L116" s="24"/>
      <c r="M116" s="24"/>
      <c r="N116" s="61"/>
    </row>
    <row r="117" spans="2:14" x14ac:dyDescent="0.35">
      <c r="B117" s="24"/>
      <c r="C117" s="24"/>
      <c r="D117" s="86"/>
      <c r="E117" s="24"/>
      <c r="F117" s="24"/>
      <c r="G117" s="24"/>
      <c r="H117" s="24"/>
      <c r="I117" s="24"/>
      <c r="J117" s="24"/>
      <c r="K117" s="24"/>
      <c r="L117" s="24"/>
      <c r="M117" s="24"/>
      <c r="N117" s="61"/>
    </row>
    <row r="118" spans="2:14" x14ac:dyDescent="0.35">
      <c r="B118" s="24"/>
      <c r="C118" s="24"/>
      <c r="D118" s="86"/>
      <c r="E118" s="24"/>
      <c r="F118" s="24"/>
      <c r="G118" s="24"/>
      <c r="H118" s="24"/>
      <c r="I118" s="24"/>
      <c r="J118" s="24"/>
      <c r="K118" s="24"/>
      <c r="L118" s="24"/>
      <c r="M118" s="24"/>
      <c r="N118" s="61"/>
    </row>
    <row r="119" spans="2:14" x14ac:dyDescent="0.35">
      <c r="B119" s="24"/>
      <c r="C119" s="24"/>
      <c r="D119" s="86"/>
      <c r="E119" s="24"/>
      <c r="F119" s="24"/>
      <c r="G119" s="24"/>
      <c r="H119" s="24"/>
      <c r="I119" s="24"/>
      <c r="J119" s="24"/>
      <c r="K119" s="24"/>
      <c r="L119" s="24"/>
      <c r="M119" s="24"/>
      <c r="N119" s="61"/>
    </row>
    <row r="120" spans="2:14" x14ac:dyDescent="0.35">
      <c r="B120" s="24"/>
      <c r="C120" s="24"/>
      <c r="D120" s="86"/>
      <c r="E120" s="24"/>
      <c r="F120" s="24"/>
      <c r="G120" s="24"/>
      <c r="H120" s="24"/>
      <c r="I120" s="24"/>
      <c r="J120" s="24"/>
      <c r="K120" s="24"/>
      <c r="L120" s="24"/>
      <c r="M120" s="24"/>
      <c r="N120" s="61"/>
    </row>
    <row r="121" spans="2:14" x14ac:dyDescent="0.35">
      <c r="B121" s="24"/>
      <c r="C121" s="24"/>
      <c r="D121" s="86"/>
      <c r="E121" s="24"/>
      <c r="F121" s="24"/>
      <c r="G121" s="24"/>
      <c r="H121" s="24"/>
      <c r="I121" s="24"/>
      <c r="J121" s="24"/>
      <c r="K121" s="24"/>
      <c r="L121" s="24"/>
      <c r="M121" s="24"/>
      <c r="N121" s="61"/>
    </row>
    <row r="122" spans="2:14" x14ac:dyDescent="0.35">
      <c r="B122" s="24"/>
      <c r="C122" s="24"/>
      <c r="D122" s="86"/>
      <c r="E122" s="24"/>
      <c r="F122" s="24"/>
      <c r="G122" s="24"/>
      <c r="H122" s="24"/>
      <c r="I122" s="24"/>
      <c r="J122" s="24"/>
      <c r="K122" s="24"/>
      <c r="L122" s="24"/>
      <c r="M122" s="24"/>
      <c r="N122" s="61"/>
    </row>
    <row r="123" spans="2:14" x14ac:dyDescent="0.35">
      <c r="B123" s="24"/>
      <c r="C123" s="24"/>
      <c r="D123" s="86"/>
      <c r="E123" s="24"/>
      <c r="F123" s="24"/>
      <c r="G123" s="24"/>
      <c r="H123" s="24"/>
      <c r="I123" s="24"/>
      <c r="J123" s="24"/>
      <c r="K123" s="24"/>
      <c r="L123" s="24"/>
      <c r="M123" s="24"/>
      <c r="N123" s="61"/>
    </row>
    <row r="124" spans="2:14" x14ac:dyDescent="0.35">
      <c r="B124" s="24"/>
      <c r="C124" s="24"/>
      <c r="D124" s="86"/>
      <c r="E124" s="24"/>
      <c r="F124" s="24"/>
      <c r="G124" s="24"/>
      <c r="H124" s="24"/>
      <c r="I124" s="24"/>
      <c r="J124" s="24"/>
      <c r="K124" s="24"/>
      <c r="L124" s="24"/>
      <c r="M124" s="24"/>
      <c r="N124" s="61"/>
    </row>
    <row r="125" spans="2:14" x14ac:dyDescent="0.35">
      <c r="B125" s="24"/>
      <c r="C125" s="24"/>
      <c r="D125" s="86"/>
      <c r="E125" s="24"/>
      <c r="F125" s="24"/>
      <c r="G125" s="24"/>
      <c r="H125" s="24"/>
      <c r="I125" s="24"/>
      <c r="J125" s="24"/>
      <c r="K125" s="24"/>
      <c r="L125" s="24"/>
      <c r="M125" s="24"/>
      <c r="N125" s="61"/>
    </row>
    <row r="126" spans="2:14" x14ac:dyDescent="0.35">
      <c r="B126" s="24"/>
      <c r="C126" s="24"/>
      <c r="D126" s="86"/>
      <c r="E126" s="24"/>
      <c r="F126" s="24"/>
      <c r="G126" s="24"/>
      <c r="H126" s="24"/>
      <c r="I126" s="24"/>
      <c r="J126" s="24"/>
      <c r="K126" s="24"/>
      <c r="L126" s="24"/>
      <c r="M126" s="24"/>
      <c r="N126" s="61"/>
    </row>
    <row r="127" spans="2:14" x14ac:dyDescent="0.35">
      <c r="B127" s="24"/>
      <c r="C127" s="24"/>
      <c r="D127" s="86"/>
      <c r="E127" s="24"/>
      <c r="F127" s="24"/>
      <c r="G127" s="24"/>
      <c r="H127" s="24"/>
      <c r="I127" s="24"/>
      <c r="J127" s="24"/>
      <c r="K127" s="24"/>
      <c r="L127" s="24"/>
      <c r="M127" s="24"/>
      <c r="N127" s="61"/>
    </row>
    <row r="128" spans="2:14" x14ac:dyDescent="0.35">
      <c r="B128" s="24"/>
      <c r="C128" s="24"/>
      <c r="D128" s="86"/>
      <c r="E128" s="24"/>
      <c r="F128" s="24"/>
      <c r="G128" s="24"/>
      <c r="H128" s="24"/>
      <c r="I128" s="24"/>
      <c r="J128" s="24"/>
      <c r="K128" s="24"/>
      <c r="L128" s="24"/>
      <c r="M128" s="24"/>
      <c r="N128" s="61"/>
    </row>
    <row r="129" spans="2:14" x14ac:dyDescent="0.35">
      <c r="B129" s="24"/>
      <c r="C129" s="24"/>
      <c r="D129" s="86"/>
      <c r="E129" s="24"/>
      <c r="F129" s="24"/>
      <c r="G129" s="24"/>
      <c r="H129" s="24"/>
      <c r="I129" s="24"/>
      <c r="J129" s="24"/>
      <c r="K129" s="24"/>
      <c r="L129" s="24"/>
      <c r="M129" s="24"/>
      <c r="N129" s="61"/>
    </row>
    <row r="130" spans="2:14" x14ac:dyDescent="0.35">
      <c r="B130" s="24"/>
      <c r="C130" s="24"/>
      <c r="D130" s="86"/>
      <c r="E130" s="24"/>
      <c r="F130" s="24"/>
      <c r="G130" s="24"/>
      <c r="H130" s="24"/>
      <c r="I130" s="24"/>
      <c r="J130" s="24"/>
      <c r="K130" s="24"/>
      <c r="L130" s="24"/>
      <c r="M130" s="24"/>
      <c r="N130" s="61"/>
    </row>
    <row r="131" spans="2:14" x14ac:dyDescent="0.35">
      <c r="B131" s="24"/>
      <c r="C131" s="24"/>
      <c r="D131" s="86"/>
      <c r="E131" s="24"/>
      <c r="F131" s="24"/>
      <c r="G131" s="24"/>
      <c r="H131" s="24"/>
      <c r="I131" s="24"/>
      <c r="J131" s="24"/>
      <c r="K131" s="24"/>
      <c r="L131" s="24"/>
      <c r="M131" s="24"/>
      <c r="N131" s="61"/>
    </row>
    <row r="132" spans="2:14" x14ac:dyDescent="0.35">
      <c r="B132" s="24"/>
      <c r="C132" s="24"/>
      <c r="D132" s="86"/>
      <c r="E132" s="24"/>
      <c r="F132" s="24"/>
      <c r="G132" s="24"/>
      <c r="H132" s="24"/>
      <c r="I132" s="24"/>
      <c r="J132" s="24"/>
      <c r="K132" s="24"/>
      <c r="L132" s="24"/>
      <c r="M132" s="24"/>
      <c r="N132" s="61"/>
    </row>
    <row r="133" spans="2:14" x14ac:dyDescent="0.35">
      <c r="B133" s="24"/>
      <c r="C133" s="24"/>
      <c r="D133" s="86"/>
      <c r="E133" s="24"/>
      <c r="F133" s="24"/>
      <c r="G133" s="24"/>
      <c r="H133" s="24"/>
      <c r="I133" s="24"/>
      <c r="J133" s="24"/>
      <c r="K133" s="24"/>
      <c r="L133" s="24"/>
      <c r="M133" s="24"/>
      <c r="N133" s="61"/>
    </row>
    <row r="134" spans="2:14" x14ac:dyDescent="0.35">
      <c r="B134" s="24"/>
      <c r="C134" s="24"/>
      <c r="D134" s="86"/>
      <c r="E134" s="24"/>
      <c r="F134" s="24"/>
      <c r="G134" s="24"/>
      <c r="H134" s="24"/>
      <c r="I134" s="24"/>
      <c r="J134" s="24"/>
      <c r="K134" s="24"/>
      <c r="L134" s="24"/>
      <c r="M134" s="24"/>
      <c r="N134" s="61"/>
    </row>
    <row r="135" spans="2:14" x14ac:dyDescent="0.35">
      <c r="B135" s="24"/>
      <c r="C135" s="24"/>
      <c r="D135" s="86"/>
      <c r="E135" s="24"/>
      <c r="F135" s="24"/>
      <c r="G135" s="24"/>
      <c r="H135" s="24"/>
      <c r="I135" s="24"/>
      <c r="J135" s="24"/>
      <c r="K135" s="24"/>
      <c r="L135" s="24"/>
      <c r="M135" s="24"/>
      <c r="N135" s="61"/>
    </row>
    <row r="136" spans="2:14" x14ac:dyDescent="0.35">
      <c r="B136" s="24"/>
      <c r="C136" s="24"/>
      <c r="D136" s="86"/>
      <c r="E136" s="24"/>
      <c r="F136" s="24"/>
      <c r="G136" s="24"/>
      <c r="H136" s="24"/>
      <c r="I136" s="24"/>
      <c r="J136" s="24"/>
      <c r="K136" s="24"/>
      <c r="L136" s="24"/>
      <c r="M136" s="24"/>
      <c r="N136" s="61"/>
    </row>
    <row r="137" spans="2:14" x14ac:dyDescent="0.35">
      <c r="B137" s="24"/>
      <c r="C137" s="24"/>
      <c r="D137" s="86"/>
      <c r="E137" s="24"/>
      <c r="F137" s="24"/>
      <c r="G137" s="24"/>
      <c r="H137" s="24"/>
      <c r="I137" s="24"/>
      <c r="J137" s="24"/>
      <c r="K137" s="24"/>
      <c r="L137" s="24"/>
      <c r="M137" s="24"/>
      <c r="N137" s="61"/>
    </row>
    <row r="138" spans="2:14" x14ac:dyDescent="0.35">
      <c r="B138" s="24"/>
      <c r="C138" s="24"/>
      <c r="D138" s="86"/>
      <c r="E138" s="24"/>
      <c r="F138" s="24"/>
      <c r="G138" s="24"/>
      <c r="H138" s="24"/>
      <c r="I138" s="24"/>
      <c r="J138" s="24"/>
      <c r="K138" s="24"/>
      <c r="L138" s="24"/>
      <c r="M138" s="24"/>
      <c r="N138" s="61"/>
    </row>
    <row r="139" spans="2:14" x14ac:dyDescent="0.35">
      <c r="B139" s="24"/>
      <c r="C139" s="24"/>
      <c r="D139" s="86"/>
      <c r="E139" s="24"/>
      <c r="F139" s="24"/>
      <c r="G139" s="24"/>
      <c r="H139" s="24"/>
      <c r="I139" s="24"/>
      <c r="J139" s="24"/>
      <c r="K139" s="24"/>
      <c r="L139" s="24"/>
      <c r="M139" s="24"/>
      <c r="N139" s="61"/>
    </row>
    <row r="140" spans="2:14" x14ac:dyDescent="0.35">
      <c r="B140" s="24"/>
      <c r="C140" s="24"/>
      <c r="D140" s="86"/>
      <c r="E140" s="24"/>
      <c r="F140" s="24"/>
      <c r="G140" s="24"/>
      <c r="H140" s="24"/>
      <c r="I140" s="24"/>
      <c r="J140" s="24"/>
      <c r="K140" s="24"/>
      <c r="L140" s="24"/>
      <c r="M140" s="24"/>
      <c r="N140" s="61"/>
    </row>
    <row r="141" spans="2:14" x14ac:dyDescent="0.35">
      <c r="B141" s="24"/>
      <c r="C141" s="24"/>
      <c r="D141" s="86"/>
      <c r="E141" s="24"/>
      <c r="F141" s="24"/>
      <c r="G141" s="24"/>
      <c r="H141" s="24"/>
      <c r="I141" s="24"/>
      <c r="J141" s="24"/>
      <c r="K141" s="24"/>
      <c r="L141" s="24"/>
      <c r="M141" s="24"/>
      <c r="N141" s="61"/>
    </row>
    <row r="142" spans="2:14" x14ac:dyDescent="0.35">
      <c r="B142" s="24"/>
      <c r="C142" s="24"/>
      <c r="D142" s="86"/>
      <c r="E142" s="24"/>
      <c r="F142" s="24"/>
      <c r="G142" s="24"/>
      <c r="H142" s="24"/>
      <c r="I142" s="24"/>
      <c r="J142" s="24"/>
      <c r="K142" s="24"/>
      <c r="L142" s="24"/>
      <c r="M142" s="24"/>
      <c r="N142" s="61"/>
    </row>
    <row r="143" spans="2:14" x14ac:dyDescent="0.35">
      <c r="B143" s="24"/>
      <c r="C143" s="24"/>
      <c r="D143" s="86"/>
      <c r="E143" s="24"/>
      <c r="F143" s="24"/>
      <c r="G143" s="24"/>
      <c r="H143" s="24"/>
      <c r="I143" s="24"/>
      <c r="J143" s="24"/>
      <c r="K143" s="24"/>
      <c r="L143" s="24"/>
      <c r="M143" s="24"/>
      <c r="N143" s="61"/>
    </row>
    <row r="144" spans="2:14" x14ac:dyDescent="0.35">
      <c r="B144" s="24"/>
      <c r="C144" s="24"/>
      <c r="D144" s="86"/>
      <c r="E144" s="24"/>
      <c r="F144" s="24"/>
      <c r="G144" s="24"/>
      <c r="H144" s="24"/>
      <c r="I144" s="24"/>
      <c r="J144" s="24"/>
      <c r="K144" s="24"/>
      <c r="L144" s="24"/>
      <c r="M144" s="24"/>
      <c r="N144" s="61"/>
    </row>
    <row r="145" spans="2:14" x14ac:dyDescent="0.35">
      <c r="B145" s="24"/>
      <c r="C145" s="24"/>
      <c r="D145" s="86"/>
      <c r="E145" s="24"/>
      <c r="F145" s="24"/>
      <c r="G145" s="24"/>
      <c r="H145" s="24"/>
      <c r="I145" s="24"/>
      <c r="J145" s="24"/>
      <c r="K145" s="24"/>
      <c r="L145" s="24"/>
      <c r="M145" s="24"/>
      <c r="N145" s="61"/>
    </row>
    <row r="146" spans="2:14" x14ac:dyDescent="0.35">
      <c r="B146" s="24"/>
      <c r="C146" s="24"/>
      <c r="D146" s="86"/>
      <c r="E146" s="24"/>
      <c r="F146" s="24"/>
      <c r="G146" s="24"/>
      <c r="H146" s="24"/>
      <c r="I146" s="24"/>
      <c r="J146" s="24"/>
      <c r="K146" s="24"/>
      <c r="L146" s="24"/>
      <c r="M146" s="24"/>
      <c r="N146" s="61"/>
    </row>
    <row r="147" spans="2:14" x14ac:dyDescent="0.35">
      <c r="B147" s="24"/>
      <c r="C147" s="24"/>
      <c r="D147" s="86"/>
      <c r="E147" s="24"/>
      <c r="F147" s="24"/>
      <c r="G147" s="24"/>
      <c r="H147" s="24"/>
      <c r="I147" s="24"/>
      <c r="J147" s="24"/>
      <c r="K147" s="24"/>
      <c r="L147" s="24"/>
      <c r="M147" s="24"/>
      <c r="N147" s="61"/>
    </row>
    <row r="148" spans="2:14" x14ac:dyDescent="0.35">
      <c r="B148" s="24"/>
      <c r="C148" s="24"/>
      <c r="D148" s="86"/>
      <c r="E148" s="24"/>
      <c r="F148" s="24"/>
      <c r="G148" s="24"/>
      <c r="H148" s="24"/>
      <c r="I148" s="24"/>
      <c r="J148" s="24"/>
      <c r="K148" s="24"/>
      <c r="L148" s="24"/>
      <c r="M148" s="24"/>
      <c r="N148" s="61"/>
    </row>
    <row r="149" spans="2:14" x14ac:dyDescent="0.35">
      <c r="B149" s="24"/>
      <c r="C149" s="24"/>
      <c r="D149" s="86"/>
      <c r="E149" s="24"/>
      <c r="F149" s="24"/>
      <c r="G149" s="24"/>
      <c r="H149" s="24"/>
      <c r="I149" s="24"/>
      <c r="J149" s="24"/>
      <c r="K149" s="24"/>
      <c r="L149" s="24"/>
      <c r="M149" s="24"/>
      <c r="N149" s="61"/>
    </row>
    <row r="150" spans="2:14" x14ac:dyDescent="0.35">
      <c r="B150" s="24"/>
      <c r="C150" s="24"/>
      <c r="D150" s="86"/>
      <c r="E150" s="24"/>
      <c r="F150" s="24"/>
      <c r="G150" s="24"/>
      <c r="H150" s="24"/>
      <c r="I150" s="24"/>
      <c r="J150" s="24"/>
      <c r="K150" s="24"/>
      <c r="L150" s="24"/>
      <c r="M150" s="24"/>
      <c r="N150" s="61"/>
    </row>
    <row r="151" spans="2:14" x14ac:dyDescent="0.35">
      <c r="B151" s="24"/>
      <c r="C151" s="24"/>
      <c r="D151" s="86"/>
      <c r="E151" s="24"/>
      <c r="F151" s="24"/>
      <c r="G151" s="24"/>
      <c r="H151" s="24"/>
      <c r="I151" s="24"/>
      <c r="J151" s="24"/>
      <c r="K151" s="24"/>
      <c r="L151" s="24"/>
      <c r="M151" s="24"/>
      <c r="N151" s="61"/>
    </row>
    <row r="152" spans="2:14" x14ac:dyDescent="0.35">
      <c r="B152" s="24"/>
      <c r="C152" s="24"/>
      <c r="D152" s="86"/>
      <c r="E152" s="24"/>
      <c r="F152" s="24"/>
      <c r="G152" s="24"/>
      <c r="H152" s="24"/>
      <c r="I152" s="24"/>
      <c r="J152" s="24"/>
      <c r="K152" s="24"/>
      <c r="L152" s="24"/>
      <c r="M152" s="24"/>
      <c r="N152" s="61"/>
    </row>
    <row r="153" spans="2:14" x14ac:dyDescent="0.35">
      <c r="B153" s="24"/>
      <c r="C153" s="24"/>
      <c r="D153" s="86"/>
      <c r="E153" s="24"/>
      <c r="F153" s="24"/>
      <c r="G153" s="24"/>
      <c r="H153" s="24"/>
      <c r="I153" s="24"/>
      <c r="J153" s="24"/>
      <c r="K153" s="24"/>
      <c r="L153" s="24"/>
      <c r="M153" s="24"/>
      <c r="N153" s="61"/>
    </row>
    <row r="154" spans="2:14" x14ac:dyDescent="0.35">
      <c r="B154" s="24"/>
      <c r="C154" s="24"/>
      <c r="D154" s="86"/>
      <c r="E154" s="24"/>
      <c r="F154" s="24"/>
      <c r="G154" s="24"/>
      <c r="H154" s="24"/>
      <c r="I154" s="24"/>
      <c r="J154" s="24"/>
      <c r="K154" s="24"/>
      <c r="L154" s="24"/>
      <c r="M154" s="24"/>
      <c r="N154" s="61"/>
    </row>
    <row r="155" spans="2:14" x14ac:dyDescent="0.35">
      <c r="B155" s="24"/>
      <c r="C155" s="24"/>
      <c r="D155" s="86"/>
      <c r="E155" s="24"/>
      <c r="F155" s="24"/>
      <c r="G155" s="24"/>
      <c r="H155" s="24"/>
      <c r="I155" s="24"/>
      <c r="J155" s="24"/>
      <c r="K155" s="24"/>
      <c r="L155" s="24"/>
      <c r="M155" s="24"/>
      <c r="N155" s="61"/>
    </row>
    <row r="156" spans="2:14" x14ac:dyDescent="0.35">
      <c r="B156" s="24"/>
      <c r="C156" s="24"/>
      <c r="D156" s="86"/>
      <c r="E156" s="24"/>
      <c r="F156" s="24"/>
      <c r="G156" s="24"/>
      <c r="H156" s="24"/>
      <c r="I156" s="24"/>
      <c r="J156" s="24"/>
      <c r="K156" s="24"/>
      <c r="L156" s="24"/>
      <c r="M156" s="24"/>
      <c r="N156" s="61"/>
    </row>
    <row r="157" spans="2:14" x14ac:dyDescent="0.35">
      <c r="B157" s="24"/>
      <c r="C157" s="24"/>
      <c r="D157" s="86"/>
      <c r="E157" s="24"/>
      <c r="F157" s="24"/>
      <c r="G157" s="24"/>
      <c r="H157" s="24"/>
      <c r="I157" s="24"/>
      <c r="J157" s="24"/>
      <c r="K157" s="24"/>
      <c r="L157" s="24"/>
      <c r="M157" s="24"/>
      <c r="N157" s="61"/>
    </row>
    <row r="158" spans="2:14" x14ac:dyDescent="0.35">
      <c r="B158" s="24"/>
      <c r="C158" s="24"/>
      <c r="D158" s="86"/>
      <c r="E158" s="24"/>
      <c r="F158" s="24"/>
      <c r="G158" s="24"/>
      <c r="H158" s="24"/>
      <c r="I158" s="24"/>
      <c r="J158" s="24"/>
      <c r="K158" s="24"/>
      <c r="L158" s="24"/>
      <c r="M158" s="24"/>
      <c r="N158" s="61"/>
    </row>
    <row r="159" spans="2:14" x14ac:dyDescent="0.35">
      <c r="B159" s="24"/>
      <c r="C159" s="24"/>
      <c r="D159" s="86"/>
      <c r="E159" s="24"/>
      <c r="F159" s="24"/>
      <c r="G159" s="24"/>
      <c r="H159" s="24"/>
      <c r="I159" s="24"/>
      <c r="J159" s="24"/>
      <c r="K159" s="24"/>
      <c r="L159" s="24"/>
      <c r="M159" s="24"/>
      <c r="N159" s="61"/>
    </row>
    <row r="160" spans="2:14" x14ac:dyDescent="0.35">
      <c r="B160" s="24"/>
      <c r="C160" s="24"/>
      <c r="D160" s="86"/>
      <c r="E160" s="24"/>
      <c r="F160" s="24"/>
      <c r="G160" s="24"/>
      <c r="H160" s="24"/>
      <c r="I160" s="24"/>
      <c r="J160" s="24"/>
      <c r="K160" s="24"/>
      <c r="L160" s="24"/>
      <c r="M160" s="24"/>
      <c r="N160" s="61"/>
    </row>
    <row r="161" spans="2:14" x14ac:dyDescent="0.35">
      <c r="B161" s="24"/>
      <c r="C161" s="24"/>
      <c r="D161" s="86"/>
      <c r="E161" s="24"/>
      <c r="F161" s="24"/>
      <c r="G161" s="24"/>
      <c r="H161" s="24"/>
      <c r="I161" s="24"/>
      <c r="J161" s="24"/>
      <c r="K161" s="24"/>
      <c r="L161" s="24"/>
      <c r="M161" s="24"/>
      <c r="N161" s="61"/>
    </row>
    <row r="162" spans="2:14" x14ac:dyDescent="0.35">
      <c r="B162" s="24"/>
      <c r="C162" s="24"/>
      <c r="D162" s="86"/>
      <c r="E162" s="24"/>
      <c r="F162" s="24"/>
      <c r="G162" s="24"/>
      <c r="H162" s="24"/>
      <c r="I162" s="24"/>
      <c r="J162" s="24"/>
      <c r="K162" s="24"/>
      <c r="L162" s="24"/>
      <c r="M162" s="24"/>
      <c r="N162" s="61"/>
    </row>
    <row r="163" spans="2:14" x14ac:dyDescent="0.35">
      <c r="B163" s="24"/>
      <c r="C163" s="24"/>
      <c r="D163" s="86"/>
      <c r="E163" s="24"/>
      <c r="F163" s="24"/>
      <c r="G163" s="24"/>
      <c r="H163" s="24"/>
      <c r="I163" s="24"/>
      <c r="J163" s="24"/>
      <c r="K163" s="24"/>
      <c r="L163" s="24"/>
      <c r="M163" s="24"/>
      <c r="N163" s="61"/>
    </row>
    <row r="164" spans="2:14" x14ac:dyDescent="0.35">
      <c r="B164" s="24"/>
      <c r="C164" s="24"/>
      <c r="D164" s="86"/>
      <c r="E164" s="24"/>
      <c r="F164" s="24"/>
      <c r="G164" s="24"/>
      <c r="H164" s="24"/>
      <c r="I164" s="24"/>
      <c r="J164" s="24"/>
      <c r="K164" s="24"/>
      <c r="L164" s="24"/>
      <c r="M164" s="24"/>
      <c r="N164" s="61"/>
    </row>
    <row r="165" spans="2:14" x14ac:dyDescent="0.35">
      <c r="B165" s="24"/>
      <c r="C165" s="24"/>
      <c r="D165" s="86"/>
      <c r="E165" s="24"/>
      <c r="F165" s="24"/>
      <c r="G165" s="24"/>
      <c r="H165" s="24"/>
      <c r="I165" s="24"/>
      <c r="J165" s="24"/>
      <c r="K165" s="24"/>
      <c r="L165" s="24"/>
      <c r="M165" s="24"/>
      <c r="N165" s="61"/>
    </row>
    <row r="166" spans="2:14" x14ac:dyDescent="0.35">
      <c r="B166" s="24"/>
      <c r="C166" s="24"/>
      <c r="D166" s="86"/>
      <c r="E166" s="24"/>
      <c r="F166" s="24"/>
      <c r="G166" s="24"/>
      <c r="H166" s="24"/>
      <c r="I166" s="24"/>
      <c r="J166" s="24"/>
      <c r="K166" s="24"/>
      <c r="L166" s="24"/>
      <c r="M166" s="24"/>
      <c r="N166" s="61"/>
    </row>
    <row r="167" spans="2:14" x14ac:dyDescent="0.35">
      <c r="B167" s="24"/>
      <c r="C167" s="24"/>
      <c r="D167" s="86"/>
      <c r="E167" s="24"/>
      <c r="F167" s="24"/>
      <c r="G167" s="24"/>
      <c r="H167" s="24"/>
      <c r="I167" s="24"/>
      <c r="J167" s="24"/>
      <c r="K167" s="24"/>
      <c r="L167" s="24"/>
      <c r="M167" s="24"/>
      <c r="N167" s="61"/>
    </row>
    <row r="168" spans="2:14" x14ac:dyDescent="0.35">
      <c r="B168" s="24"/>
      <c r="C168" s="24"/>
      <c r="D168" s="86"/>
      <c r="E168" s="24"/>
      <c r="F168" s="24"/>
      <c r="G168" s="24"/>
      <c r="H168" s="24"/>
      <c r="I168" s="24"/>
      <c r="J168" s="24"/>
      <c r="K168" s="24"/>
      <c r="L168" s="24"/>
      <c r="M168" s="24"/>
      <c r="N168" s="61"/>
    </row>
    <row r="169" spans="2:14" x14ac:dyDescent="0.35">
      <c r="B169" s="24"/>
      <c r="C169" s="24"/>
      <c r="D169" s="86"/>
      <c r="E169" s="24"/>
      <c r="F169" s="24"/>
      <c r="G169" s="24"/>
      <c r="H169" s="24"/>
      <c r="I169" s="24"/>
      <c r="J169" s="24"/>
      <c r="K169" s="24"/>
      <c r="L169" s="24"/>
      <c r="M169" s="24"/>
      <c r="N169" s="61"/>
    </row>
    <row r="170" spans="2:14" x14ac:dyDescent="0.35">
      <c r="B170" s="24"/>
      <c r="C170" s="24"/>
      <c r="D170" s="86"/>
      <c r="E170" s="24"/>
      <c r="F170" s="24"/>
      <c r="G170" s="24"/>
      <c r="H170" s="24"/>
      <c r="I170" s="24"/>
      <c r="J170" s="24"/>
      <c r="K170" s="24"/>
      <c r="L170" s="24"/>
      <c r="M170" s="24"/>
      <c r="N170" s="61"/>
    </row>
    <row r="171" spans="2:14" x14ac:dyDescent="0.35">
      <c r="B171" s="24"/>
      <c r="C171" s="24"/>
      <c r="D171" s="86"/>
      <c r="E171" s="24"/>
      <c r="F171" s="24"/>
      <c r="G171" s="24"/>
      <c r="H171" s="24"/>
      <c r="I171" s="24"/>
      <c r="J171" s="24"/>
      <c r="K171" s="24"/>
      <c r="L171" s="24"/>
      <c r="M171" s="24"/>
      <c r="N171" s="61"/>
    </row>
    <row r="172" spans="2:14" x14ac:dyDescent="0.35">
      <c r="B172" s="24"/>
      <c r="C172" s="24"/>
      <c r="D172" s="86"/>
      <c r="E172" s="24"/>
      <c r="F172" s="24"/>
      <c r="G172" s="24"/>
      <c r="H172" s="24"/>
      <c r="I172" s="24"/>
      <c r="J172" s="24"/>
      <c r="K172" s="24"/>
      <c r="L172" s="24"/>
      <c r="M172" s="24"/>
      <c r="N172" s="61"/>
    </row>
    <row r="173" spans="2:14" x14ac:dyDescent="0.35">
      <c r="B173" s="24"/>
      <c r="C173" s="24"/>
      <c r="D173" s="86"/>
      <c r="E173" s="24"/>
      <c r="F173" s="24"/>
      <c r="G173" s="24"/>
      <c r="H173" s="24"/>
      <c r="I173" s="24"/>
      <c r="J173" s="24"/>
      <c r="K173" s="24"/>
      <c r="L173" s="24"/>
      <c r="M173" s="24"/>
      <c r="N173" s="61"/>
    </row>
    <row r="174" spans="2:14" x14ac:dyDescent="0.35">
      <c r="B174" s="24"/>
      <c r="C174" s="24"/>
      <c r="D174" s="86"/>
      <c r="E174" s="24"/>
      <c r="F174" s="24"/>
      <c r="G174" s="24"/>
      <c r="H174" s="24"/>
      <c r="I174" s="24"/>
      <c r="J174" s="24"/>
      <c r="K174" s="24"/>
      <c r="L174" s="24"/>
      <c r="M174" s="24"/>
      <c r="N174" s="61"/>
    </row>
    <row r="175" spans="2:14" x14ac:dyDescent="0.35">
      <c r="B175" s="24"/>
      <c r="C175" s="24"/>
      <c r="D175" s="86"/>
      <c r="E175" s="24"/>
      <c r="F175" s="24"/>
      <c r="G175" s="24"/>
      <c r="H175" s="24"/>
      <c r="I175" s="24"/>
      <c r="J175" s="24"/>
      <c r="K175" s="24"/>
      <c r="L175" s="24"/>
      <c r="M175" s="24"/>
      <c r="N175" s="61"/>
    </row>
    <row r="176" spans="2:14" x14ac:dyDescent="0.35">
      <c r="B176" s="24"/>
      <c r="C176" s="24"/>
      <c r="D176" s="86"/>
      <c r="E176" s="24"/>
      <c r="F176" s="24"/>
      <c r="G176" s="24"/>
      <c r="H176" s="24"/>
      <c r="I176" s="24"/>
      <c r="J176" s="24"/>
      <c r="K176" s="24"/>
      <c r="L176" s="24"/>
      <c r="M176" s="24"/>
      <c r="N176" s="61"/>
    </row>
    <row r="177" spans="2:14" x14ac:dyDescent="0.35">
      <c r="B177" s="24"/>
      <c r="C177" s="24"/>
      <c r="D177" s="86"/>
      <c r="E177" s="24"/>
      <c r="F177" s="24"/>
      <c r="G177" s="24"/>
      <c r="H177" s="24"/>
      <c r="I177" s="24"/>
      <c r="J177" s="24"/>
      <c r="K177" s="24"/>
      <c r="L177" s="24"/>
      <c r="M177" s="24"/>
      <c r="N177" s="61"/>
    </row>
    <row r="178" spans="2:14" x14ac:dyDescent="0.35">
      <c r="B178" s="24"/>
      <c r="C178" s="24"/>
      <c r="D178" s="86"/>
      <c r="E178" s="24"/>
      <c r="F178" s="24"/>
      <c r="G178" s="24"/>
      <c r="H178" s="24"/>
      <c r="I178" s="24"/>
      <c r="J178" s="24"/>
      <c r="K178" s="24"/>
      <c r="L178" s="24"/>
      <c r="M178" s="24"/>
      <c r="N178" s="61"/>
    </row>
    <row r="179" spans="2:14" x14ac:dyDescent="0.35">
      <c r="B179" s="24"/>
      <c r="C179" s="24"/>
      <c r="D179" s="86"/>
      <c r="E179" s="24"/>
      <c r="F179" s="24"/>
      <c r="G179" s="24"/>
      <c r="H179" s="24"/>
      <c r="I179" s="24"/>
      <c r="J179" s="24"/>
      <c r="K179" s="24"/>
      <c r="L179" s="24"/>
      <c r="M179" s="24"/>
      <c r="N179" s="61"/>
    </row>
    <row r="180" spans="2:14" x14ac:dyDescent="0.35">
      <c r="B180" s="24"/>
      <c r="C180" s="24"/>
      <c r="D180" s="86"/>
      <c r="E180" s="24"/>
      <c r="F180" s="24"/>
      <c r="G180" s="24"/>
      <c r="H180" s="24"/>
      <c r="I180" s="24"/>
      <c r="J180" s="24"/>
      <c r="K180" s="24"/>
      <c r="L180" s="24"/>
      <c r="M180" s="24"/>
      <c r="N180" s="61"/>
    </row>
    <row r="181" spans="2:14" x14ac:dyDescent="0.35">
      <c r="B181" s="24"/>
      <c r="C181" s="24"/>
      <c r="D181" s="86"/>
      <c r="E181" s="24"/>
      <c r="F181" s="24"/>
      <c r="G181" s="24"/>
      <c r="H181" s="24"/>
      <c r="I181" s="24"/>
      <c r="J181" s="24"/>
      <c r="K181" s="24"/>
      <c r="L181" s="24"/>
      <c r="M181" s="24"/>
      <c r="N181" s="61"/>
    </row>
    <row r="182" spans="2:14" x14ac:dyDescent="0.35">
      <c r="B182" s="24"/>
      <c r="C182" s="24"/>
      <c r="D182" s="86"/>
      <c r="E182" s="24"/>
      <c r="F182" s="24"/>
      <c r="G182" s="24"/>
      <c r="H182" s="24"/>
      <c r="I182" s="24"/>
      <c r="J182" s="24"/>
      <c r="K182" s="24"/>
      <c r="L182" s="24"/>
      <c r="M182" s="24"/>
      <c r="N182" s="61"/>
    </row>
    <row r="183" spans="2:14" x14ac:dyDescent="0.35">
      <c r="B183" s="24"/>
      <c r="C183" s="24"/>
      <c r="D183" s="86"/>
      <c r="E183" s="24"/>
      <c r="F183" s="24"/>
      <c r="G183" s="24"/>
      <c r="H183" s="24"/>
      <c r="I183" s="24"/>
      <c r="J183" s="24"/>
      <c r="K183" s="24"/>
      <c r="L183" s="24"/>
      <c r="M183" s="24"/>
      <c r="N183" s="61"/>
    </row>
    <row r="184" spans="2:14" x14ac:dyDescent="0.35">
      <c r="B184" s="24"/>
      <c r="C184" s="24"/>
      <c r="D184" s="86"/>
      <c r="E184" s="24"/>
      <c r="F184" s="24"/>
      <c r="G184" s="24"/>
      <c r="H184" s="24"/>
      <c r="I184" s="24"/>
      <c r="J184" s="24"/>
      <c r="K184" s="24"/>
      <c r="L184" s="24"/>
      <c r="M184" s="24"/>
      <c r="N184" s="61"/>
    </row>
    <row r="185" spans="2:14" x14ac:dyDescent="0.35">
      <c r="B185" s="24"/>
      <c r="C185" s="24"/>
      <c r="D185" s="86"/>
      <c r="E185" s="24"/>
      <c r="F185" s="24"/>
      <c r="G185" s="24"/>
      <c r="H185" s="24"/>
      <c r="I185" s="24"/>
      <c r="J185" s="24"/>
      <c r="K185" s="24"/>
      <c r="L185" s="24"/>
      <c r="M185" s="24"/>
      <c r="N185" s="61"/>
    </row>
    <row r="186" spans="2:14" x14ac:dyDescent="0.35">
      <c r="B186" s="24"/>
      <c r="C186" s="24"/>
      <c r="D186" s="86"/>
      <c r="E186" s="24"/>
      <c r="F186" s="24"/>
      <c r="G186" s="24"/>
      <c r="H186" s="24"/>
      <c r="I186" s="24"/>
      <c r="J186" s="24"/>
      <c r="K186" s="24"/>
      <c r="L186" s="24"/>
      <c r="M186" s="24"/>
      <c r="N186" s="61"/>
    </row>
    <row r="187" spans="2:14" x14ac:dyDescent="0.35">
      <c r="B187" s="24"/>
      <c r="C187" s="24"/>
      <c r="D187" s="86"/>
      <c r="E187" s="24"/>
      <c r="F187" s="24"/>
      <c r="G187" s="24"/>
      <c r="H187" s="24"/>
      <c r="I187" s="24"/>
      <c r="J187" s="24"/>
      <c r="K187" s="24"/>
      <c r="L187" s="24"/>
      <c r="M187" s="24"/>
      <c r="N187" s="61"/>
    </row>
    <row r="188" spans="2:14" x14ac:dyDescent="0.35">
      <c r="B188" s="24"/>
      <c r="C188" s="24"/>
      <c r="D188" s="86"/>
      <c r="E188" s="24"/>
      <c r="F188" s="24"/>
      <c r="G188" s="24"/>
      <c r="H188" s="24"/>
      <c r="I188" s="24"/>
      <c r="J188" s="24"/>
      <c r="K188" s="24"/>
      <c r="L188" s="24"/>
      <c r="M188" s="24"/>
      <c r="N188" s="61"/>
    </row>
    <row r="189" spans="2:14" x14ac:dyDescent="0.35">
      <c r="B189" s="24"/>
      <c r="C189" s="24"/>
      <c r="D189" s="86"/>
      <c r="E189" s="24"/>
      <c r="F189" s="24"/>
      <c r="G189" s="24"/>
      <c r="H189" s="24"/>
      <c r="I189" s="24"/>
      <c r="J189" s="24"/>
      <c r="K189" s="24"/>
      <c r="L189" s="24"/>
      <c r="M189" s="24"/>
      <c r="N189" s="61"/>
    </row>
  </sheetData>
  <mergeCells count="2">
    <mergeCell ref="B2:G2"/>
    <mergeCell ref="B13:G13"/>
  </mergeCells>
  <phoneticPr fontId="25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B2:U997"/>
  <sheetViews>
    <sheetView zoomScale="85" zoomScaleNormal="85" workbookViewId="0">
      <selection activeCell="G35" sqref="G35"/>
    </sheetView>
  </sheetViews>
  <sheetFormatPr defaultColWidth="10.08203125" defaultRowHeight="15" customHeight="1" x14ac:dyDescent="0.35"/>
  <cols>
    <col min="1" max="1" width="10.08203125" style="97"/>
    <col min="2" max="2" width="32.83203125" style="97" customWidth="1"/>
    <col min="3" max="7" width="13.83203125" style="97" customWidth="1"/>
    <col min="8" max="8" width="11.33203125" style="97" customWidth="1"/>
    <col min="9" max="21" width="4.33203125" style="97" customWidth="1"/>
    <col min="22" max="16384" width="10.08203125" style="97"/>
  </cols>
  <sheetData>
    <row r="2" spans="2:21" ht="34.5" customHeight="1" x14ac:dyDescent="0.35">
      <c r="B2" s="256" t="s">
        <v>181</v>
      </c>
      <c r="C2" s="257"/>
      <c r="D2" s="257"/>
      <c r="E2" s="257"/>
      <c r="F2" s="257"/>
      <c r="G2" s="257"/>
      <c r="H2" s="95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</row>
    <row r="3" spans="2:21" ht="18.75" customHeight="1" x14ac:dyDescent="0.35">
      <c r="B3" s="167"/>
      <c r="C3" s="168">
        <v>0</v>
      </c>
      <c r="D3" s="121">
        <v>2026</v>
      </c>
      <c r="E3" s="121">
        <v>2027</v>
      </c>
      <c r="F3" s="121">
        <v>2028</v>
      </c>
      <c r="G3" s="121">
        <v>2029</v>
      </c>
      <c r="H3" s="98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</row>
    <row r="4" spans="2:21" ht="18.75" customHeight="1" x14ac:dyDescent="0.35">
      <c r="B4" s="169" t="s">
        <v>176</v>
      </c>
      <c r="C4" s="170"/>
      <c r="D4" s="170">
        <f>'Estimated Income - Year'!C4</f>
        <v>2551440000</v>
      </c>
      <c r="E4" s="170">
        <f>'Estimated Income - Year'!D4</f>
        <v>3175020000</v>
      </c>
      <c r="F4" s="170">
        <f>'Estimated Income - Year'!E4</f>
        <v>3647400000</v>
      </c>
      <c r="G4" s="170">
        <f>'Estimated Income - Year'!F4</f>
        <v>4372920000</v>
      </c>
      <c r="H4" s="98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2:21" ht="18.75" customHeight="1" x14ac:dyDescent="0.35">
      <c r="B5" s="171" t="s">
        <v>64</v>
      </c>
      <c r="C5" s="172"/>
      <c r="D5" s="170">
        <f>SUM(D6:D11)</f>
        <v>-637399600</v>
      </c>
      <c r="E5" s="170">
        <f>SUM(E6:E11)</f>
        <v>-779574400</v>
      </c>
      <c r="F5" s="170">
        <f>SUM(F6:F11)</f>
        <v>-989883400</v>
      </c>
      <c r="G5" s="170">
        <f>SUM(G6:G11)</f>
        <v>-1284383800</v>
      </c>
      <c r="H5" s="98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2:21" ht="18.75" hidden="1" customHeight="1" x14ac:dyDescent="0.35">
      <c r="B6" s="173" t="str">
        <f>'Operating Expenses'!C5</f>
        <v>Rental Expense</v>
      </c>
      <c r="C6" s="172"/>
      <c r="D6" s="172">
        <f>-'Estimated Income - Year'!C9</f>
        <v>-96000000</v>
      </c>
      <c r="E6" s="172">
        <f>-'Estimated Income - Year'!D9</f>
        <v>-96000000</v>
      </c>
      <c r="F6" s="172">
        <f>-'Estimated Income - Year'!E9</f>
        <v>-105600000</v>
      </c>
      <c r="G6" s="172">
        <f>-'Estimated Income - Year'!F9</f>
        <v>-105600000</v>
      </c>
      <c r="H6" s="98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</row>
    <row r="7" spans="2:21" ht="18.75" hidden="1" customHeight="1" x14ac:dyDescent="0.35">
      <c r="B7" s="173" t="str">
        <f>'Operating Expenses'!C6</f>
        <v>Salary Expenses</v>
      </c>
      <c r="C7" s="172"/>
      <c r="D7" s="172">
        <f>-'Estimated Income - Year'!C10</f>
        <v>-517698800</v>
      </c>
      <c r="E7" s="172">
        <f>-'Estimated Income - Year'!D10</f>
        <v>-657173600</v>
      </c>
      <c r="F7" s="172">
        <f>-'Estimated Income - Year'!E10</f>
        <v>-855098600</v>
      </c>
      <c r="G7" s="172">
        <f>-'Estimated Income - Year'!F10</f>
        <v>-1144918400</v>
      </c>
      <c r="H7" s="99"/>
      <c r="I7" s="96"/>
      <c r="J7" s="96"/>
      <c r="K7" s="96"/>
      <c r="L7" s="96"/>
      <c r="M7" s="96"/>
      <c r="N7" s="96"/>
      <c r="O7" s="96"/>
      <c r="P7" s="96"/>
    </row>
    <row r="8" spans="2:21" ht="18.75" hidden="1" customHeight="1" x14ac:dyDescent="0.35">
      <c r="B8" s="173" t="str">
        <f>'Operating Expenses'!C7</f>
        <v>Hosting</v>
      </c>
      <c r="C8" s="172"/>
      <c r="D8" s="172">
        <f>-'Estimated Income - Year'!C11</f>
        <v>-2250000</v>
      </c>
      <c r="E8" s="172">
        <f>-'Estimated Income - Year'!D11</f>
        <v>-3150000</v>
      </c>
      <c r="F8" s="172">
        <f>-'Estimated Income - Year'!E11</f>
        <v>-4050000</v>
      </c>
      <c r="G8" s="172">
        <f>-'Estimated Income - Year'!F11</f>
        <v>-4986000</v>
      </c>
      <c r="H8" s="99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</row>
    <row r="9" spans="2:21" ht="18.75" hidden="1" customHeight="1" x14ac:dyDescent="0.35">
      <c r="B9" s="173" t="str">
        <f>'Operating Expenses'!C8</f>
        <v>Server</v>
      </c>
      <c r="C9" s="172"/>
      <c r="D9" s="172">
        <f>-'Estimated Income - Year'!C12</f>
        <v>-1450800</v>
      </c>
      <c r="E9" s="172">
        <f>-'Estimated Income - Year'!D12</f>
        <v>-1810800</v>
      </c>
      <c r="F9" s="172">
        <f>-'Estimated Income - Year'!E12</f>
        <v>-2722800</v>
      </c>
      <c r="G9" s="172">
        <f>-'Estimated Income - Year'!F12</f>
        <v>-5446800</v>
      </c>
      <c r="H9" s="100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</row>
    <row r="10" spans="2:21" ht="18.75" hidden="1" customHeight="1" x14ac:dyDescent="0.35">
      <c r="B10" s="173" t="str">
        <f>'Operating Expenses'!C9</f>
        <v>Supplies Expenses</v>
      </c>
      <c r="C10" s="172"/>
      <c r="D10" s="172">
        <f>-'Estimated Income - Year'!C13</f>
        <v>-18000000</v>
      </c>
      <c r="E10" s="172">
        <f>-'Estimated Income - Year'!D13</f>
        <v>-19440000</v>
      </c>
      <c r="F10" s="172">
        <f>-'Estimated Income - Year'!E13</f>
        <v>-20412000</v>
      </c>
      <c r="G10" s="172">
        <f>-'Estimated Income - Year'!F13</f>
        <v>-21432600</v>
      </c>
      <c r="H10" s="99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</row>
    <row r="11" spans="2:21" ht="18.75" hidden="1" customHeight="1" x14ac:dyDescent="0.35">
      <c r="B11" s="173" t="str">
        <f>'Operating Expenses'!C10</f>
        <v>Business-license tax</v>
      </c>
      <c r="C11" s="172"/>
      <c r="D11" s="172">
        <f>-'Estimated Income - Year'!C14</f>
        <v>-2000000</v>
      </c>
      <c r="E11" s="172">
        <f>-'Estimated Income - Year'!D14</f>
        <v>-2000000</v>
      </c>
      <c r="F11" s="172">
        <f>-'Estimated Income - Year'!E14</f>
        <v>-2000000</v>
      </c>
      <c r="G11" s="172">
        <f>-'Estimated Income - Year'!F14</f>
        <v>-2000000</v>
      </c>
      <c r="H11" s="99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</row>
    <row r="12" spans="2:21" ht="18.75" customHeight="1" x14ac:dyDescent="0.35">
      <c r="B12" s="171" t="s">
        <v>80</v>
      </c>
      <c r="C12" s="172"/>
      <c r="D12" s="170">
        <f>SUM(D13:D15)</f>
        <v>-1611780000</v>
      </c>
      <c r="E12" s="170">
        <f>SUM(E13:E15)</f>
        <v>-2002929000</v>
      </c>
      <c r="F12" s="170">
        <f>SUM(F13:F15)</f>
        <v>-2189946000</v>
      </c>
      <c r="G12" s="170">
        <f>SUM(G13:G15)</f>
        <v>-2623150200</v>
      </c>
      <c r="H12" s="99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</row>
    <row r="13" spans="2:21" ht="18.75" hidden="1" customHeight="1" x14ac:dyDescent="0.35">
      <c r="B13" s="173" t="s">
        <v>93</v>
      </c>
      <c r="C13" s="172"/>
      <c r="D13" s="172">
        <f>-'Estimated Income - Year'!C6</f>
        <v>-1214664000</v>
      </c>
      <c r="E13" s="172">
        <f>-'Estimated Income - Year'!D6</f>
        <v>-1511556000</v>
      </c>
      <c r="F13" s="172">
        <f>-'Estimated Income - Year'!E6</f>
        <v>-1736382000</v>
      </c>
      <c r="G13" s="172">
        <f>-'Estimated Income - Year'!F6</f>
        <v>-2081730000</v>
      </c>
      <c r="H13" s="99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</row>
    <row r="14" spans="2:21" ht="18.75" hidden="1" customHeight="1" x14ac:dyDescent="0.35">
      <c r="B14" s="173" t="str">
        <f>'Operating Expenses'!C13</f>
        <v>Marketing expense</v>
      </c>
      <c r="C14" s="172"/>
      <c r="D14" s="172">
        <f>-'Estimated Income - Year'!C15</f>
        <v>-382716000</v>
      </c>
      <c r="E14" s="172">
        <f>-'Estimated Income - Year'!D15</f>
        <v>-476253000</v>
      </c>
      <c r="F14" s="172">
        <f>-'Estimated Income - Year'!E15</f>
        <v>-437688000</v>
      </c>
      <c r="G14" s="172">
        <f>-'Estimated Income - Year'!F15</f>
        <v>-524750400</v>
      </c>
      <c r="H14" s="99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</row>
    <row r="15" spans="2:21" ht="18.75" hidden="1" customHeight="1" x14ac:dyDescent="0.35">
      <c r="B15" s="173" t="str">
        <f>'Operating Expenses'!C14</f>
        <v>Other expense</v>
      </c>
      <c r="C15" s="172"/>
      <c r="D15" s="172">
        <f>-'Estimated Income - Year'!C16</f>
        <v>-14400000</v>
      </c>
      <c r="E15" s="172">
        <f>-'Estimated Income - Year'!D16</f>
        <v>-15120000</v>
      </c>
      <c r="F15" s="172">
        <f>-'Estimated Income - Year'!E16</f>
        <v>-15876000</v>
      </c>
      <c r="G15" s="172">
        <f>-'Estimated Income - Year'!F16</f>
        <v>-16669800</v>
      </c>
      <c r="H15" s="100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</row>
    <row r="16" spans="2:21" ht="18.75" customHeight="1" x14ac:dyDescent="0.35">
      <c r="B16" s="169" t="s">
        <v>65</v>
      </c>
      <c r="C16" s="172"/>
      <c r="D16" s="170">
        <f>D4+D5+D12</f>
        <v>302260400</v>
      </c>
      <c r="E16" s="170">
        <f>E4+E5+E12</f>
        <v>392516600</v>
      </c>
      <c r="F16" s="170">
        <f>F4+F5+F12</f>
        <v>467570600</v>
      </c>
      <c r="G16" s="170">
        <f>G4+G5+G12</f>
        <v>465386000</v>
      </c>
      <c r="H16" s="99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</row>
    <row r="17" spans="2:21" ht="18.75" customHeight="1" x14ac:dyDescent="0.35">
      <c r="B17" s="174" t="s">
        <v>104</v>
      </c>
      <c r="C17" s="172"/>
      <c r="D17" s="172">
        <f>-'Estimated Income - Year'!C17</f>
        <v>-24583333.333333336</v>
      </c>
      <c r="E17" s="172">
        <f>-'Estimated Income - Year'!D17</f>
        <v>-23833333.333333336</v>
      </c>
      <c r="F17" s="172">
        <f>-'Estimated Income - Year'!E17</f>
        <v>-14583333.333333334</v>
      </c>
      <c r="G17" s="172">
        <f>-'Estimated Income - Year'!F17</f>
        <v>0</v>
      </c>
      <c r="H17" s="100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</row>
    <row r="18" spans="2:21" ht="18.75" customHeight="1" x14ac:dyDescent="0.35">
      <c r="B18" s="169" t="s">
        <v>66</v>
      </c>
      <c r="C18" s="172"/>
      <c r="D18" s="170">
        <f t="shared" ref="D18:G18" si="0">D16+D17</f>
        <v>277677066.66666669</v>
      </c>
      <c r="E18" s="170">
        <f t="shared" si="0"/>
        <v>368683266.66666669</v>
      </c>
      <c r="F18" s="170">
        <f t="shared" si="0"/>
        <v>452987266.66666669</v>
      </c>
      <c r="G18" s="170">
        <f t="shared" si="0"/>
        <v>465386000</v>
      </c>
      <c r="H18" s="99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</row>
    <row r="19" spans="2:21" ht="18.75" hidden="1" customHeight="1" x14ac:dyDescent="0.35">
      <c r="B19" s="174" t="s">
        <v>67</v>
      </c>
      <c r="C19" s="172"/>
      <c r="D19" s="172">
        <v>0</v>
      </c>
      <c r="E19" s="172">
        <v>0</v>
      </c>
      <c r="F19" s="172">
        <v>0</v>
      </c>
      <c r="G19" s="172">
        <v>0</v>
      </c>
      <c r="H19" s="100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</row>
    <row r="20" spans="2:21" ht="18.75" hidden="1" customHeight="1" x14ac:dyDescent="0.35">
      <c r="B20" s="169" t="s">
        <v>68</v>
      </c>
      <c r="C20" s="170"/>
      <c r="D20" s="170">
        <f t="shared" ref="D20:G20" si="1">D18+D19</f>
        <v>277677066.66666669</v>
      </c>
      <c r="E20" s="170">
        <f t="shared" si="1"/>
        <v>368683266.66666669</v>
      </c>
      <c r="F20" s="170">
        <f t="shared" si="1"/>
        <v>452987266.66666669</v>
      </c>
      <c r="G20" s="170">
        <f t="shared" si="1"/>
        <v>465386000</v>
      </c>
      <c r="H20" s="99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</row>
    <row r="21" spans="2:21" ht="18.75" customHeight="1" x14ac:dyDescent="0.35">
      <c r="B21" s="174" t="s">
        <v>69</v>
      </c>
      <c r="C21" s="172"/>
      <c r="D21" s="172">
        <f>-'Estimated Income - Year'!C19</f>
        <v>-55535413.333333328</v>
      </c>
      <c r="E21" s="172">
        <f>-'Estimated Income - Year'!D19</f>
        <v>-73736653.333333358</v>
      </c>
      <c r="F21" s="172">
        <f>-'Estimated Income - Year'!E19</f>
        <v>-90597453.333333358</v>
      </c>
      <c r="G21" s="172">
        <f>-'Estimated Income - Year'!F19</f>
        <v>-93077200</v>
      </c>
      <c r="H21" s="99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</row>
    <row r="22" spans="2:21" ht="18.75" customHeight="1" x14ac:dyDescent="0.35">
      <c r="B22" s="77" t="s">
        <v>182</v>
      </c>
      <c r="C22" s="175"/>
      <c r="D22" s="78">
        <f>SUM(D20:D21)</f>
        <v>222141653.33333337</v>
      </c>
      <c r="E22" s="78">
        <f>SUM(E20:E21)</f>
        <v>294946613.33333331</v>
      </c>
      <c r="F22" s="78">
        <f>SUM(F20:F21)</f>
        <v>362389813.33333331</v>
      </c>
      <c r="G22" s="78">
        <f>SUM(G20:G21)</f>
        <v>372308800</v>
      </c>
      <c r="H22" s="99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</row>
    <row r="23" spans="2:21" ht="18.75" customHeight="1" x14ac:dyDescent="0.35">
      <c r="B23" s="174" t="s">
        <v>105</v>
      </c>
      <c r="C23" s="172"/>
      <c r="D23" s="172">
        <f>-D17</f>
        <v>24583333.333333336</v>
      </c>
      <c r="E23" s="172">
        <f t="shared" ref="E23:G23" si="2">-E17</f>
        <v>23833333.333333336</v>
      </c>
      <c r="F23" s="172">
        <f t="shared" si="2"/>
        <v>14583333.333333334</v>
      </c>
      <c r="G23" s="172">
        <f t="shared" si="2"/>
        <v>0</v>
      </c>
      <c r="H23" s="99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</row>
    <row r="24" spans="2:21" ht="18.75" customHeight="1" x14ac:dyDescent="0.35">
      <c r="B24" s="176" t="s">
        <v>72</v>
      </c>
      <c r="C24" s="170"/>
      <c r="D24" s="170">
        <f>D22+D23</f>
        <v>246724986.66666672</v>
      </c>
      <c r="E24" s="170">
        <f t="shared" ref="E24:G24" si="3">E22+E23</f>
        <v>318779946.66666663</v>
      </c>
      <c r="F24" s="170">
        <f t="shared" si="3"/>
        <v>376973146.66666663</v>
      </c>
      <c r="G24" s="170">
        <f t="shared" si="3"/>
        <v>372308800</v>
      </c>
      <c r="H24" s="99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</row>
    <row r="25" spans="2:21" ht="18.75" customHeight="1" x14ac:dyDescent="0.35">
      <c r="B25" s="174" t="s">
        <v>75</v>
      </c>
      <c r="C25" s="177">
        <f>-'Start-Up Investment'!G14</f>
        <v>-63000000</v>
      </c>
      <c r="D25" s="172"/>
      <c r="E25" s="172"/>
      <c r="F25" s="172"/>
      <c r="G25" s="172"/>
      <c r="H25" s="99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</row>
    <row r="26" spans="2:21" ht="18.75" customHeight="1" x14ac:dyDescent="0.35">
      <c r="B26" s="174" t="s">
        <v>76</v>
      </c>
      <c r="C26" s="177">
        <f>-'Start-Up Investment'!G19</f>
        <v>-205000000</v>
      </c>
      <c r="D26" s="172"/>
      <c r="E26" s="172"/>
      <c r="F26" s="172"/>
      <c r="G26" s="172"/>
      <c r="H26" s="99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</row>
    <row r="27" spans="2:21" ht="18.75" customHeight="1" x14ac:dyDescent="0.35">
      <c r="B27" s="174" t="s">
        <v>77</v>
      </c>
      <c r="C27" s="177">
        <f>-'Start-Up Investment'!G33</f>
        <v>-25267000</v>
      </c>
      <c r="D27" s="172"/>
      <c r="E27" s="172"/>
      <c r="F27" s="172"/>
      <c r="G27" s="172"/>
      <c r="H27" s="99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</row>
    <row r="28" spans="2:21" ht="18.75" customHeight="1" x14ac:dyDescent="0.35">
      <c r="B28" s="169" t="s">
        <v>129</v>
      </c>
      <c r="C28" s="170">
        <f>SUM(C25:C27)</f>
        <v>-293267000</v>
      </c>
      <c r="D28" s="170">
        <f t="shared" ref="D28:G28" si="4">SUM(D24:D27)</f>
        <v>246724986.66666672</v>
      </c>
      <c r="E28" s="170">
        <f t="shared" si="4"/>
        <v>318779946.66666663</v>
      </c>
      <c r="F28" s="170">
        <f t="shared" si="4"/>
        <v>376973146.66666663</v>
      </c>
      <c r="G28" s="170">
        <f t="shared" si="4"/>
        <v>372308800</v>
      </c>
      <c r="H28" s="99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</row>
    <row r="29" spans="2:21" ht="18.75" customHeight="1" x14ac:dyDescent="0.35">
      <c r="B29" s="178" t="s">
        <v>73</v>
      </c>
      <c r="C29" s="172">
        <f>C28</f>
        <v>-293267000</v>
      </c>
      <c r="D29" s="172">
        <f>D28+C29</f>
        <v>-46542013.333333284</v>
      </c>
      <c r="E29" s="172">
        <f t="shared" ref="E29:G29" si="5">E28+D29</f>
        <v>272237933.33333337</v>
      </c>
      <c r="F29" s="172">
        <f t="shared" si="5"/>
        <v>649211080</v>
      </c>
      <c r="G29" s="172">
        <f t="shared" si="5"/>
        <v>1021519880</v>
      </c>
      <c r="H29" s="99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</row>
    <row r="30" spans="2:21" ht="18.75" customHeight="1" x14ac:dyDescent="0.35">
      <c r="B30" s="179" t="s">
        <v>74</v>
      </c>
      <c r="C30" s="180">
        <f>-D29/E28+1</f>
        <v>1.146000442687821</v>
      </c>
      <c r="E30" s="122"/>
      <c r="F30" s="122"/>
      <c r="G30" s="122"/>
      <c r="H30" s="102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</row>
    <row r="31" spans="2:21" ht="18.75" customHeight="1" x14ac:dyDescent="0.35">
      <c r="B31" s="96"/>
      <c r="C31" s="102"/>
      <c r="D31" s="112"/>
      <c r="E31" s="102"/>
      <c r="F31" s="102"/>
      <c r="G31" s="102"/>
      <c r="H31" s="102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</row>
    <row r="32" spans="2:21" ht="18.75" customHeight="1" x14ac:dyDescent="0.35">
      <c r="B32" s="96"/>
      <c r="C32" s="102"/>
      <c r="D32" s="102"/>
      <c r="E32" s="102"/>
      <c r="F32" s="102"/>
      <c r="G32" s="102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</row>
    <row r="33" spans="2:21" ht="18.75" customHeight="1" x14ac:dyDescent="0.35">
      <c r="B33" s="96"/>
      <c r="C33" s="96"/>
      <c r="D33" s="103"/>
      <c r="E33" s="103"/>
      <c r="F33" s="103"/>
      <c r="G33" s="103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</row>
    <row r="34" spans="2:21" ht="18.75" customHeight="1" x14ac:dyDescent="0.35"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</row>
    <row r="35" spans="2:21" ht="18.75" customHeight="1" x14ac:dyDescent="0.35"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</row>
    <row r="36" spans="2:21" ht="18.75" customHeight="1" x14ac:dyDescent="0.35"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</row>
    <row r="37" spans="2:21" ht="18.75" customHeight="1" x14ac:dyDescent="0.35"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</row>
    <row r="38" spans="2:21" ht="18.75" customHeight="1" x14ac:dyDescent="0.35"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</row>
    <row r="39" spans="2:21" ht="18.75" customHeight="1" x14ac:dyDescent="0.35"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</row>
    <row r="40" spans="2:21" ht="18.75" customHeight="1" x14ac:dyDescent="0.35"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</row>
    <row r="41" spans="2:21" ht="18.75" customHeight="1" x14ac:dyDescent="0.35"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</row>
    <row r="42" spans="2:21" ht="18.75" customHeight="1" x14ac:dyDescent="0.35"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  <row r="43" spans="2:21" ht="18.75" customHeight="1" x14ac:dyDescent="0.35"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</row>
    <row r="44" spans="2:21" ht="18.75" customHeight="1" x14ac:dyDescent="0.35"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</row>
    <row r="45" spans="2:21" ht="18.75" customHeight="1" x14ac:dyDescent="0.35"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</row>
    <row r="46" spans="2:21" ht="18.75" customHeight="1" x14ac:dyDescent="0.35"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</row>
    <row r="47" spans="2:21" ht="18.75" customHeight="1" x14ac:dyDescent="0.35"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</row>
    <row r="48" spans="2:21" ht="18.75" customHeight="1" x14ac:dyDescent="0.35"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</row>
    <row r="49" spans="2:21" ht="18.75" customHeight="1" x14ac:dyDescent="0.35"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</row>
    <row r="50" spans="2:21" ht="18.75" customHeight="1" x14ac:dyDescent="0.35"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</row>
    <row r="51" spans="2:21" ht="18.75" customHeight="1" x14ac:dyDescent="0.35"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</row>
    <row r="52" spans="2:21" ht="18.75" customHeight="1" x14ac:dyDescent="0.35"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</row>
    <row r="53" spans="2:21" ht="18.75" customHeight="1" x14ac:dyDescent="0.35"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</row>
    <row r="54" spans="2:21" ht="18.75" customHeight="1" x14ac:dyDescent="0.35"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</row>
    <row r="55" spans="2:21" ht="18.75" customHeight="1" x14ac:dyDescent="0.35"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</row>
    <row r="56" spans="2:21" ht="18.75" customHeight="1" x14ac:dyDescent="0.35"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</row>
    <row r="57" spans="2:21" ht="18.75" customHeight="1" x14ac:dyDescent="0.35"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</row>
    <row r="58" spans="2:21" ht="18.75" customHeight="1" x14ac:dyDescent="0.35"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</row>
    <row r="59" spans="2:21" ht="18.75" customHeight="1" x14ac:dyDescent="0.35"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</row>
    <row r="60" spans="2:21" ht="18.75" customHeight="1" x14ac:dyDescent="0.35"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</row>
    <row r="61" spans="2:21" ht="18.75" customHeight="1" x14ac:dyDescent="0.35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</row>
    <row r="62" spans="2:21" ht="18.75" customHeight="1" x14ac:dyDescent="0.35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</row>
    <row r="63" spans="2:21" ht="18.75" customHeight="1" x14ac:dyDescent="0.35"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</row>
    <row r="64" spans="2:21" ht="18.75" customHeight="1" x14ac:dyDescent="0.35"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</row>
    <row r="65" spans="2:21" ht="18.75" customHeight="1" x14ac:dyDescent="0.35"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</row>
    <row r="66" spans="2:21" ht="18.75" customHeight="1" x14ac:dyDescent="0.35"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</row>
    <row r="67" spans="2:21" ht="18.75" customHeight="1" x14ac:dyDescent="0.35"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</row>
    <row r="68" spans="2:21" ht="18.75" customHeight="1" x14ac:dyDescent="0.35"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</row>
    <row r="69" spans="2:21" ht="18.75" customHeight="1" x14ac:dyDescent="0.35"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</row>
    <row r="70" spans="2:21" ht="18.75" customHeight="1" x14ac:dyDescent="0.35"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</row>
    <row r="71" spans="2:21" ht="18.75" customHeight="1" x14ac:dyDescent="0.35"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</row>
    <row r="72" spans="2:21" ht="18.75" customHeight="1" x14ac:dyDescent="0.35"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</row>
    <row r="73" spans="2:21" ht="18.75" customHeight="1" x14ac:dyDescent="0.35"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</row>
    <row r="74" spans="2:21" ht="18.75" customHeight="1" x14ac:dyDescent="0.35"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</row>
    <row r="75" spans="2:21" ht="18.75" customHeight="1" x14ac:dyDescent="0.35"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</row>
    <row r="76" spans="2:21" ht="18.75" customHeight="1" x14ac:dyDescent="0.35"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</row>
    <row r="77" spans="2:21" ht="18.75" customHeight="1" x14ac:dyDescent="0.35"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</row>
    <row r="78" spans="2:21" ht="18.75" customHeight="1" x14ac:dyDescent="0.35"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</row>
    <row r="79" spans="2:21" ht="18.75" customHeight="1" x14ac:dyDescent="0.35"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</row>
    <row r="80" spans="2:21" ht="18.75" customHeight="1" x14ac:dyDescent="0.35"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</row>
    <row r="81" spans="2:21" ht="18.75" customHeight="1" x14ac:dyDescent="0.35"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</row>
    <row r="82" spans="2:21" ht="18.75" customHeight="1" x14ac:dyDescent="0.35"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</row>
    <row r="83" spans="2:21" ht="18.75" customHeight="1" x14ac:dyDescent="0.35"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</row>
    <row r="84" spans="2:21" ht="18.75" customHeight="1" x14ac:dyDescent="0.35"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</row>
    <row r="85" spans="2:21" ht="18.75" customHeight="1" x14ac:dyDescent="0.35"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</row>
    <row r="86" spans="2:21" ht="18.75" customHeight="1" x14ac:dyDescent="0.3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</row>
    <row r="87" spans="2:21" ht="18.75" customHeight="1" x14ac:dyDescent="0.3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</row>
    <row r="88" spans="2:21" ht="18.75" customHeight="1" x14ac:dyDescent="0.3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</row>
    <row r="89" spans="2:21" ht="18.75" customHeight="1" x14ac:dyDescent="0.3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</row>
    <row r="90" spans="2:21" ht="18.75" customHeight="1" x14ac:dyDescent="0.3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</row>
    <row r="91" spans="2:21" ht="18.75" customHeight="1" x14ac:dyDescent="0.3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</row>
    <row r="92" spans="2:21" ht="18.75" customHeight="1" x14ac:dyDescent="0.3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</row>
    <row r="93" spans="2:21" ht="18.75" customHeight="1" x14ac:dyDescent="0.3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</row>
    <row r="94" spans="2:21" ht="18.75" customHeight="1" x14ac:dyDescent="0.3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</row>
    <row r="95" spans="2:21" ht="18.75" customHeight="1" x14ac:dyDescent="0.3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</row>
    <row r="96" spans="2:21" ht="18.75" customHeight="1" x14ac:dyDescent="0.3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</row>
    <row r="97" spans="2:21" ht="18.75" customHeight="1" x14ac:dyDescent="0.3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</row>
    <row r="98" spans="2:21" ht="18.75" customHeight="1" x14ac:dyDescent="0.3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</row>
    <row r="99" spans="2:21" ht="18.75" customHeight="1" x14ac:dyDescent="0.3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</row>
    <row r="100" spans="2:21" ht="18.75" customHeight="1" x14ac:dyDescent="0.3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</row>
    <row r="101" spans="2:21" ht="18.75" customHeight="1" x14ac:dyDescent="0.3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</row>
    <row r="102" spans="2:21" ht="18.75" customHeight="1" x14ac:dyDescent="0.3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</row>
    <row r="103" spans="2:21" ht="18.75" customHeight="1" x14ac:dyDescent="0.3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</row>
    <row r="104" spans="2:21" ht="18.75" customHeight="1" x14ac:dyDescent="0.3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</row>
    <row r="105" spans="2:21" ht="18.75" customHeight="1" x14ac:dyDescent="0.3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</row>
    <row r="106" spans="2:21" ht="18.75" customHeight="1" x14ac:dyDescent="0.3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</row>
    <row r="107" spans="2:21" ht="18.75" customHeight="1" x14ac:dyDescent="0.3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</row>
    <row r="108" spans="2:21" ht="18.75" customHeight="1" x14ac:dyDescent="0.3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</row>
    <row r="109" spans="2:21" ht="18.75" customHeight="1" x14ac:dyDescent="0.3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</row>
    <row r="110" spans="2:21" ht="18.75" customHeight="1" x14ac:dyDescent="0.35"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</row>
    <row r="111" spans="2:21" ht="18.75" customHeight="1" x14ac:dyDescent="0.35"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</row>
    <row r="112" spans="2:21" ht="18.75" customHeight="1" x14ac:dyDescent="0.35"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</row>
    <row r="113" spans="2:21" ht="18.75" customHeight="1" x14ac:dyDescent="0.35"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</row>
    <row r="114" spans="2:21" ht="18.75" customHeight="1" x14ac:dyDescent="0.35"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</row>
    <row r="115" spans="2:21" ht="18.75" customHeight="1" x14ac:dyDescent="0.35"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</row>
    <row r="116" spans="2:21" ht="18.75" customHeight="1" x14ac:dyDescent="0.35"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</row>
    <row r="117" spans="2:21" ht="18.75" customHeight="1" x14ac:dyDescent="0.35"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</row>
    <row r="118" spans="2:21" ht="18.75" customHeight="1" x14ac:dyDescent="0.35"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</row>
    <row r="119" spans="2:21" ht="18.75" customHeight="1" x14ac:dyDescent="0.35"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</row>
    <row r="120" spans="2:21" ht="18.75" customHeight="1" x14ac:dyDescent="0.35"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</row>
    <row r="121" spans="2:21" ht="18.75" customHeight="1" x14ac:dyDescent="0.35"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</row>
    <row r="122" spans="2:21" ht="18.75" customHeight="1" x14ac:dyDescent="0.35"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</row>
    <row r="123" spans="2:21" ht="18.75" customHeight="1" x14ac:dyDescent="0.35"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</row>
    <row r="124" spans="2:21" ht="18.75" customHeight="1" x14ac:dyDescent="0.35"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</row>
    <row r="125" spans="2:21" ht="18.75" customHeight="1" x14ac:dyDescent="0.35"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</row>
    <row r="126" spans="2:21" ht="18.75" customHeight="1" x14ac:dyDescent="0.35"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</row>
    <row r="127" spans="2:21" ht="18.75" customHeight="1" x14ac:dyDescent="0.35"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</row>
    <row r="128" spans="2:21" ht="18.75" customHeight="1" x14ac:dyDescent="0.35"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</row>
    <row r="129" spans="2:21" ht="18.75" customHeight="1" x14ac:dyDescent="0.35"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</row>
    <row r="130" spans="2:21" ht="18.75" customHeight="1" x14ac:dyDescent="0.35"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</row>
    <row r="131" spans="2:21" ht="18.75" customHeight="1" x14ac:dyDescent="0.35"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</row>
    <row r="132" spans="2:21" ht="18.75" customHeight="1" x14ac:dyDescent="0.35"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</row>
    <row r="133" spans="2:21" ht="18.75" customHeight="1" x14ac:dyDescent="0.35"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</row>
    <row r="134" spans="2:21" ht="18.75" customHeight="1" x14ac:dyDescent="0.35"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</row>
    <row r="135" spans="2:21" ht="18.75" customHeight="1" x14ac:dyDescent="0.35"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</row>
    <row r="136" spans="2:21" ht="18.75" customHeight="1" x14ac:dyDescent="0.35"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</row>
    <row r="137" spans="2:21" ht="18.75" customHeight="1" x14ac:dyDescent="0.35"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</row>
    <row r="138" spans="2:21" ht="18.75" customHeight="1" x14ac:dyDescent="0.35"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</row>
    <row r="139" spans="2:21" ht="18.75" customHeight="1" x14ac:dyDescent="0.35"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</row>
    <row r="140" spans="2:21" ht="18.75" customHeight="1" x14ac:dyDescent="0.35"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</row>
    <row r="141" spans="2:21" ht="18.75" customHeight="1" x14ac:dyDescent="0.35"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</row>
    <row r="142" spans="2:21" ht="18.75" customHeight="1" x14ac:dyDescent="0.35"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</row>
    <row r="143" spans="2:21" ht="18.75" customHeight="1" x14ac:dyDescent="0.35"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</row>
    <row r="144" spans="2:21" ht="18.75" customHeight="1" x14ac:dyDescent="0.35"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</row>
    <row r="145" spans="2:21" ht="18.75" customHeight="1" x14ac:dyDescent="0.35"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</row>
    <row r="146" spans="2:21" ht="18.75" customHeight="1" x14ac:dyDescent="0.35"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</row>
    <row r="147" spans="2:21" ht="18.75" customHeight="1" x14ac:dyDescent="0.35"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</row>
    <row r="148" spans="2:21" ht="18.75" customHeight="1" x14ac:dyDescent="0.35"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</row>
    <row r="149" spans="2:21" ht="18.75" customHeight="1" x14ac:dyDescent="0.35"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</row>
    <row r="150" spans="2:21" ht="18.75" customHeight="1" x14ac:dyDescent="0.35"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</row>
    <row r="151" spans="2:21" ht="18.75" customHeight="1" x14ac:dyDescent="0.35"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</row>
    <row r="152" spans="2:21" ht="18.75" customHeight="1" x14ac:dyDescent="0.35"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</row>
    <row r="153" spans="2:21" ht="18.75" customHeight="1" x14ac:dyDescent="0.35"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</row>
    <row r="154" spans="2:21" ht="18.75" customHeight="1" x14ac:dyDescent="0.35"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</row>
    <row r="155" spans="2:21" ht="18.75" customHeight="1" x14ac:dyDescent="0.35"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</row>
    <row r="156" spans="2:21" ht="18.75" customHeight="1" x14ac:dyDescent="0.35"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</row>
    <row r="157" spans="2:21" ht="18.75" customHeight="1" x14ac:dyDescent="0.35"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</row>
    <row r="158" spans="2:21" ht="18.75" customHeight="1" x14ac:dyDescent="0.35"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</row>
    <row r="159" spans="2:21" ht="18.75" customHeight="1" x14ac:dyDescent="0.35"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</row>
    <row r="160" spans="2:21" ht="18.75" customHeight="1" x14ac:dyDescent="0.35"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</row>
    <row r="161" spans="2:21" ht="18.75" customHeight="1" x14ac:dyDescent="0.35"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</row>
    <row r="162" spans="2:21" ht="18.75" customHeight="1" x14ac:dyDescent="0.35"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</row>
    <row r="163" spans="2:21" ht="18.75" customHeight="1" x14ac:dyDescent="0.35"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</row>
    <row r="164" spans="2:21" ht="18.75" customHeight="1" x14ac:dyDescent="0.35"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</row>
    <row r="165" spans="2:21" ht="18.75" customHeight="1" x14ac:dyDescent="0.35"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</row>
    <row r="166" spans="2:21" ht="18.75" customHeight="1" x14ac:dyDescent="0.35"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</row>
    <row r="167" spans="2:21" ht="18.75" customHeight="1" x14ac:dyDescent="0.35"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</row>
    <row r="168" spans="2:21" ht="18.75" customHeight="1" x14ac:dyDescent="0.35"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</row>
    <row r="169" spans="2:21" ht="18.75" customHeight="1" x14ac:dyDescent="0.35"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</row>
    <row r="170" spans="2:21" ht="18.75" customHeight="1" x14ac:dyDescent="0.35"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</row>
    <row r="171" spans="2:21" ht="18.75" customHeight="1" x14ac:dyDescent="0.35"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</row>
    <row r="172" spans="2:21" ht="18.75" customHeight="1" x14ac:dyDescent="0.35"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</row>
    <row r="173" spans="2:21" ht="18.75" customHeight="1" x14ac:dyDescent="0.35"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</row>
    <row r="174" spans="2:21" ht="18.75" customHeight="1" x14ac:dyDescent="0.35"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</row>
    <row r="175" spans="2:21" ht="18.75" customHeight="1" x14ac:dyDescent="0.35"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</row>
    <row r="176" spans="2:21" ht="18.75" customHeight="1" x14ac:dyDescent="0.35"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</row>
    <row r="177" spans="2:21" ht="18.75" customHeight="1" x14ac:dyDescent="0.35"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</row>
    <row r="178" spans="2:21" ht="18.75" customHeight="1" x14ac:dyDescent="0.35"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</row>
    <row r="179" spans="2:21" ht="18.75" customHeight="1" x14ac:dyDescent="0.35"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</row>
    <row r="180" spans="2:21" ht="18.75" customHeight="1" x14ac:dyDescent="0.35"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</row>
    <row r="181" spans="2:21" ht="18.75" customHeight="1" x14ac:dyDescent="0.35"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</row>
    <row r="182" spans="2:21" ht="18.75" customHeight="1" x14ac:dyDescent="0.35"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</row>
    <row r="183" spans="2:21" ht="18.75" customHeight="1" x14ac:dyDescent="0.35"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</row>
    <row r="184" spans="2:21" ht="18.75" customHeight="1" x14ac:dyDescent="0.35"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</row>
    <row r="185" spans="2:21" ht="18.75" customHeight="1" x14ac:dyDescent="0.35"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</row>
    <row r="186" spans="2:21" ht="18.75" customHeight="1" x14ac:dyDescent="0.35"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</row>
    <row r="187" spans="2:21" ht="18.75" customHeight="1" x14ac:dyDescent="0.35"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</row>
    <row r="188" spans="2:21" ht="18.75" customHeight="1" x14ac:dyDescent="0.35"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</row>
    <row r="189" spans="2:21" ht="18.75" customHeight="1" x14ac:dyDescent="0.35"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</row>
    <row r="190" spans="2:21" ht="18.75" customHeight="1" x14ac:dyDescent="0.35"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</row>
    <row r="191" spans="2:21" ht="18.75" customHeight="1" x14ac:dyDescent="0.35"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</row>
    <row r="192" spans="2:21" ht="18.75" customHeight="1" x14ac:dyDescent="0.35"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</row>
    <row r="193" spans="2:21" ht="18.75" customHeight="1" x14ac:dyDescent="0.35"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</row>
    <row r="194" spans="2:21" ht="18.75" customHeight="1" x14ac:dyDescent="0.35"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</row>
    <row r="195" spans="2:21" ht="18.75" customHeight="1" x14ac:dyDescent="0.35"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</row>
    <row r="196" spans="2:21" ht="18.75" customHeight="1" x14ac:dyDescent="0.35"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</row>
    <row r="197" spans="2:21" ht="18.75" customHeight="1" x14ac:dyDescent="0.35"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</row>
    <row r="198" spans="2:21" ht="18.75" customHeight="1" x14ac:dyDescent="0.35"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</row>
    <row r="199" spans="2:21" ht="18.75" customHeight="1" x14ac:dyDescent="0.35"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</row>
    <row r="200" spans="2:21" ht="18.75" customHeight="1" x14ac:dyDescent="0.35"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</row>
    <row r="201" spans="2:21" ht="18.75" customHeight="1" x14ac:dyDescent="0.35"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</row>
    <row r="202" spans="2:21" ht="18.75" customHeight="1" x14ac:dyDescent="0.35"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</row>
    <row r="203" spans="2:21" ht="18.75" customHeight="1" x14ac:dyDescent="0.35"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</row>
    <row r="204" spans="2:21" ht="18.75" customHeight="1" x14ac:dyDescent="0.35"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</row>
    <row r="205" spans="2:21" ht="18.75" customHeight="1" x14ac:dyDescent="0.35"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</row>
    <row r="206" spans="2:21" ht="18.75" customHeight="1" x14ac:dyDescent="0.35"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</row>
    <row r="207" spans="2:21" ht="18.75" customHeight="1" x14ac:dyDescent="0.35"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</row>
    <row r="208" spans="2:21" ht="18.75" customHeight="1" x14ac:dyDescent="0.35"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</row>
    <row r="209" spans="2:21" ht="18.75" customHeight="1" x14ac:dyDescent="0.35"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</row>
    <row r="210" spans="2:21" ht="18.75" customHeight="1" x14ac:dyDescent="0.35"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</row>
    <row r="211" spans="2:21" ht="18.75" customHeight="1" x14ac:dyDescent="0.35"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</row>
    <row r="212" spans="2:21" ht="18.75" customHeight="1" x14ac:dyDescent="0.35"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</row>
    <row r="213" spans="2:21" ht="18.75" customHeight="1" x14ac:dyDescent="0.35"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</row>
    <row r="214" spans="2:21" ht="18.75" customHeight="1" x14ac:dyDescent="0.35"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</row>
    <row r="215" spans="2:21" ht="18.75" customHeight="1" x14ac:dyDescent="0.35"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</row>
    <row r="216" spans="2:21" ht="18.75" customHeight="1" x14ac:dyDescent="0.35"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</row>
    <row r="217" spans="2:21" ht="18.75" customHeight="1" x14ac:dyDescent="0.35"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</row>
    <row r="218" spans="2:21" ht="18.75" customHeight="1" x14ac:dyDescent="0.35"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</row>
    <row r="219" spans="2:21" ht="18.75" customHeight="1" x14ac:dyDescent="0.35"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</row>
    <row r="220" spans="2:21" ht="18.75" customHeight="1" x14ac:dyDescent="0.35"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</row>
    <row r="221" spans="2:21" ht="18.75" customHeight="1" x14ac:dyDescent="0.35"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</row>
    <row r="222" spans="2:21" ht="18.75" customHeight="1" x14ac:dyDescent="0.35"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</row>
    <row r="223" spans="2:21" ht="18.75" customHeight="1" x14ac:dyDescent="0.35"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</row>
    <row r="224" spans="2:21" ht="18.75" customHeight="1" x14ac:dyDescent="0.35"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</row>
    <row r="225" spans="2:21" ht="18.75" customHeight="1" x14ac:dyDescent="0.35"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</row>
    <row r="226" spans="2:21" ht="18.75" customHeight="1" x14ac:dyDescent="0.35"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</row>
    <row r="227" spans="2:21" ht="18.75" customHeight="1" x14ac:dyDescent="0.35"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</row>
    <row r="228" spans="2:21" ht="18.75" customHeight="1" x14ac:dyDescent="0.35"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</row>
    <row r="229" spans="2:21" ht="18.75" customHeight="1" x14ac:dyDescent="0.35"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</row>
    <row r="230" spans="2:21" ht="18.75" customHeight="1" x14ac:dyDescent="0.35"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</row>
    <row r="231" spans="2:21" ht="18.75" customHeight="1" x14ac:dyDescent="0.35"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</row>
    <row r="232" spans="2:21" ht="15.75" customHeight="1" x14ac:dyDescent="0.35"/>
    <row r="233" spans="2:21" ht="15.75" customHeight="1" x14ac:dyDescent="0.35"/>
    <row r="234" spans="2:21" ht="15.75" customHeight="1" x14ac:dyDescent="0.35"/>
    <row r="235" spans="2:21" ht="15.75" customHeight="1" x14ac:dyDescent="0.35"/>
    <row r="236" spans="2:21" ht="15.75" customHeight="1" x14ac:dyDescent="0.35"/>
    <row r="237" spans="2:21" ht="15.75" customHeight="1" x14ac:dyDescent="0.35"/>
    <row r="238" spans="2:21" ht="15.75" customHeight="1" x14ac:dyDescent="0.35"/>
    <row r="239" spans="2:21" ht="15.75" customHeight="1" x14ac:dyDescent="0.35"/>
    <row r="240" spans="2:21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mergeCells count="1">
    <mergeCell ref="B2:G2"/>
  </mergeCells>
  <pageMargins left="0.7" right="0.7" top="0.75" bottom="0.75" header="0" footer="0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0CF5-110D-434F-8798-BEFA4F3932F0}">
  <dimension ref="B2:G24"/>
  <sheetViews>
    <sheetView zoomScale="77" workbookViewId="0">
      <selection activeCell="C13" sqref="C13"/>
    </sheetView>
  </sheetViews>
  <sheetFormatPr defaultColWidth="8.83203125" defaultRowHeight="18" x14ac:dyDescent="0.35"/>
  <cols>
    <col min="1" max="1" width="8.83203125" style="13"/>
    <col min="2" max="2" width="27.4140625" style="13" customWidth="1"/>
    <col min="3" max="3" width="17.08203125" style="13" customWidth="1"/>
    <col min="4" max="4" width="8.83203125" style="13"/>
    <col min="5" max="5" width="11.5" style="82" customWidth="1"/>
    <col min="6" max="7" width="16.33203125" style="82" customWidth="1"/>
    <col min="8" max="16384" width="8.83203125" style="13"/>
  </cols>
  <sheetData>
    <row r="2" spans="2:7" ht="23.4" x14ac:dyDescent="0.45">
      <c r="B2" s="260" t="s">
        <v>94</v>
      </c>
      <c r="C2" s="260"/>
      <c r="E2" s="258" t="s">
        <v>94</v>
      </c>
      <c r="F2" s="259"/>
      <c r="G2" s="259"/>
    </row>
    <row r="3" spans="2:7" x14ac:dyDescent="0.35">
      <c r="B3" s="118" t="s">
        <v>81</v>
      </c>
      <c r="C3" s="127">
        <f>'Estimated Sale'!G42</f>
        <v>43752</v>
      </c>
      <c r="E3" s="82" t="s">
        <v>84</v>
      </c>
      <c r="F3" s="82" t="s">
        <v>33</v>
      </c>
      <c r="G3" s="82" t="s">
        <v>82</v>
      </c>
    </row>
    <row r="4" spans="2:7" x14ac:dyDescent="0.35">
      <c r="B4" s="118" t="s">
        <v>83</v>
      </c>
      <c r="C4" s="127">
        <f>'Estimated Annual Cash Flow'!$G$4</f>
        <v>4372920000</v>
      </c>
      <c r="E4" s="82">
        <v>0</v>
      </c>
      <c r="F4" s="123">
        <f>C5</f>
        <v>1284383800</v>
      </c>
      <c r="G4" s="124">
        <f>E4*$C$7</f>
        <v>0</v>
      </c>
    </row>
    <row r="5" spans="2:7" x14ac:dyDescent="0.35">
      <c r="B5" s="118" t="s">
        <v>85</v>
      </c>
      <c r="C5" s="127">
        <f>-'Estimated Annual Cash Flow'!$G$5</f>
        <v>1284383800</v>
      </c>
      <c r="E5" s="123">
        <f>E4+2000</f>
        <v>2000</v>
      </c>
      <c r="F5" s="123">
        <f>$C$5+$C$8*E5</f>
        <v>1404293756.1162918</v>
      </c>
      <c r="G5" s="124">
        <f>E5*$C$7</f>
        <v>199895776.19308832</v>
      </c>
    </row>
    <row r="6" spans="2:7" x14ac:dyDescent="0.35">
      <c r="B6" s="118" t="s">
        <v>86</v>
      </c>
      <c r="C6" s="127">
        <f>-'Estimated Annual Cash Flow'!$G$12</f>
        <v>2623150200</v>
      </c>
      <c r="E6" s="123">
        <f t="shared" ref="E6:E20" si="0">E5+2000</f>
        <v>4000</v>
      </c>
      <c r="F6" s="123">
        <f t="shared" ref="F6:F20" si="1">$C$5+$C$8*E6</f>
        <v>1524203712.2325835</v>
      </c>
      <c r="G6" s="124">
        <f t="shared" ref="G6:G20" si="2">E6*$C$7</f>
        <v>399791552.38617665</v>
      </c>
    </row>
    <row r="7" spans="2:7" x14ac:dyDescent="0.35">
      <c r="B7" s="118" t="s">
        <v>87</v>
      </c>
      <c r="C7" s="127">
        <f>C4/C3</f>
        <v>99947.888096544164</v>
      </c>
      <c r="E7" s="123">
        <f t="shared" si="0"/>
        <v>6000</v>
      </c>
      <c r="F7" s="123">
        <f t="shared" si="1"/>
        <v>1644113668.3488755</v>
      </c>
      <c r="G7" s="124">
        <f t="shared" si="2"/>
        <v>599687328.579265</v>
      </c>
    </row>
    <row r="8" spans="2:7" x14ac:dyDescent="0.35">
      <c r="B8" s="118" t="s">
        <v>88</v>
      </c>
      <c r="C8" s="127">
        <f>C6/C3</f>
        <v>59954.978058145913</v>
      </c>
      <c r="E8" s="123">
        <f t="shared" si="0"/>
        <v>8000</v>
      </c>
      <c r="F8" s="123">
        <f t="shared" si="1"/>
        <v>1764023624.4651673</v>
      </c>
      <c r="G8" s="124">
        <f t="shared" si="2"/>
        <v>799583104.77235329</v>
      </c>
    </row>
    <row r="9" spans="2:7" x14ac:dyDescent="0.35">
      <c r="B9" s="118" t="s">
        <v>89</v>
      </c>
      <c r="C9" s="127">
        <f>C5/(C7-C8)</f>
        <v>32115.287403863062</v>
      </c>
      <c r="E9" s="123">
        <f t="shared" si="0"/>
        <v>10000</v>
      </c>
      <c r="F9" s="123">
        <f t="shared" si="1"/>
        <v>1883933580.581459</v>
      </c>
      <c r="G9" s="124">
        <f t="shared" si="2"/>
        <v>999478880.96544158</v>
      </c>
    </row>
    <row r="10" spans="2:7" x14ac:dyDescent="0.35">
      <c r="C10" s="125"/>
      <c r="E10" s="123">
        <f t="shared" si="0"/>
        <v>12000</v>
      </c>
      <c r="F10" s="123">
        <f t="shared" si="1"/>
        <v>2003843536.697751</v>
      </c>
      <c r="G10" s="124">
        <f t="shared" si="2"/>
        <v>1199374657.15853</v>
      </c>
    </row>
    <row r="11" spans="2:7" x14ac:dyDescent="0.35">
      <c r="E11" s="123">
        <f t="shared" si="0"/>
        <v>14000</v>
      </c>
      <c r="F11" s="123">
        <f t="shared" si="1"/>
        <v>2123753492.8140428</v>
      </c>
      <c r="G11" s="124">
        <f t="shared" si="2"/>
        <v>1399270433.3516183</v>
      </c>
    </row>
    <row r="12" spans="2:7" x14ac:dyDescent="0.35">
      <c r="C12" s="125"/>
      <c r="E12" s="123">
        <f t="shared" si="0"/>
        <v>16000</v>
      </c>
      <c r="F12" s="123">
        <f t="shared" si="1"/>
        <v>2243663448.9303346</v>
      </c>
      <c r="G12" s="124">
        <f t="shared" si="2"/>
        <v>1599166209.5447066</v>
      </c>
    </row>
    <row r="13" spans="2:7" x14ac:dyDescent="0.35">
      <c r="B13" s="126"/>
      <c r="E13" s="123">
        <f t="shared" si="0"/>
        <v>18000</v>
      </c>
      <c r="F13" s="123">
        <f t="shared" si="1"/>
        <v>2363573405.0466261</v>
      </c>
      <c r="G13" s="124">
        <f t="shared" si="2"/>
        <v>1799061985.7377949</v>
      </c>
    </row>
    <row r="14" spans="2:7" x14ac:dyDescent="0.35">
      <c r="E14" s="123">
        <f t="shared" si="0"/>
        <v>20000</v>
      </c>
      <c r="F14" s="123">
        <f t="shared" si="1"/>
        <v>2483483361.1629181</v>
      </c>
      <c r="G14" s="124">
        <f t="shared" si="2"/>
        <v>1998957761.9308832</v>
      </c>
    </row>
    <row r="15" spans="2:7" x14ac:dyDescent="0.35">
      <c r="E15" s="123">
        <f t="shared" si="0"/>
        <v>22000</v>
      </c>
      <c r="F15" s="123">
        <f t="shared" si="1"/>
        <v>2603393317.2792101</v>
      </c>
      <c r="G15" s="124">
        <f t="shared" si="2"/>
        <v>2198853538.1239715</v>
      </c>
    </row>
    <row r="16" spans="2:7" x14ac:dyDescent="0.35">
      <c r="E16" s="123">
        <f t="shared" si="0"/>
        <v>24000</v>
      </c>
      <c r="F16" s="123">
        <f t="shared" si="1"/>
        <v>2723303273.3955021</v>
      </c>
      <c r="G16" s="124">
        <f t="shared" si="2"/>
        <v>2398749314.31706</v>
      </c>
    </row>
    <row r="17" spans="5:7" x14ac:dyDescent="0.35">
      <c r="E17" s="123">
        <f t="shared" si="0"/>
        <v>26000</v>
      </c>
      <c r="F17" s="123">
        <f t="shared" si="1"/>
        <v>2843213229.5117936</v>
      </c>
      <c r="G17" s="124">
        <f t="shared" si="2"/>
        <v>2598645090.510148</v>
      </c>
    </row>
    <row r="18" spans="5:7" x14ac:dyDescent="0.35">
      <c r="E18" s="123">
        <f t="shared" si="0"/>
        <v>28000</v>
      </c>
      <c r="F18" s="123">
        <f t="shared" si="1"/>
        <v>2963123185.6280856</v>
      </c>
      <c r="G18" s="124">
        <f t="shared" si="2"/>
        <v>2798540866.7032366</v>
      </c>
    </row>
    <row r="19" spans="5:7" x14ac:dyDescent="0.35">
      <c r="E19" s="123">
        <f t="shared" si="0"/>
        <v>30000</v>
      </c>
      <c r="F19" s="123">
        <f t="shared" si="1"/>
        <v>3083033141.7443771</v>
      </c>
      <c r="G19" s="124">
        <f t="shared" si="2"/>
        <v>2998436642.8963251</v>
      </c>
    </row>
    <row r="20" spans="5:7" x14ac:dyDescent="0.35">
      <c r="E20" s="123">
        <f t="shared" si="0"/>
        <v>32000</v>
      </c>
      <c r="F20" s="123">
        <f t="shared" si="1"/>
        <v>3202943097.8606691</v>
      </c>
      <c r="G20" s="124">
        <f t="shared" si="2"/>
        <v>3198332419.0894132</v>
      </c>
    </row>
    <row r="21" spans="5:7" x14ac:dyDescent="0.35">
      <c r="E21" s="123"/>
    </row>
    <row r="22" spans="5:7" x14ac:dyDescent="0.35">
      <c r="E22" s="123"/>
    </row>
    <row r="23" spans="5:7" x14ac:dyDescent="0.35">
      <c r="E23" s="123"/>
    </row>
    <row r="24" spans="5:7" x14ac:dyDescent="0.35">
      <c r="E24" s="123"/>
    </row>
  </sheetData>
  <mergeCells count="2">
    <mergeCell ref="E2:G2"/>
    <mergeCell ref="B2:C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82C9-EF95-44B0-9A9A-1996BD64571B}">
  <dimension ref="B2:Q219"/>
  <sheetViews>
    <sheetView topLeftCell="A1048576" zoomScaleNormal="100" workbookViewId="0">
      <selection activeCell="A3" sqref="A1:XFD1048576"/>
    </sheetView>
  </sheetViews>
  <sheetFormatPr defaultColWidth="10.08203125" defaultRowHeight="18" zeroHeight="1" x14ac:dyDescent="0.35"/>
  <cols>
    <col min="1" max="1" width="10.08203125" style="13"/>
    <col min="2" max="2" width="30.1640625" style="13" customWidth="1"/>
    <col min="3" max="6" width="13" style="13" customWidth="1"/>
    <col min="7" max="9" width="4.33203125" style="13" customWidth="1"/>
    <col min="10" max="17" width="7.08203125" style="13" customWidth="1"/>
    <col min="18" max="16384" width="10.08203125" style="13"/>
  </cols>
  <sheetData>
    <row r="2" spans="2:17" ht="24.6" hidden="1" x14ac:dyDescent="0.35">
      <c r="B2" s="211" t="s">
        <v>152</v>
      </c>
      <c r="C2" s="242"/>
      <c r="D2" s="242"/>
      <c r="E2" s="242"/>
      <c r="F2" s="242"/>
      <c r="G2" s="61"/>
      <c r="H2" s="61"/>
      <c r="I2" s="61"/>
    </row>
    <row r="3" spans="2:17" hidden="1" x14ac:dyDescent="0.35">
      <c r="B3" s="39"/>
      <c r="C3" s="121">
        <v>2026</v>
      </c>
      <c r="D3" s="121">
        <v>2027</v>
      </c>
      <c r="E3" s="121">
        <v>2028</v>
      </c>
      <c r="F3" s="121">
        <v>2029</v>
      </c>
      <c r="G3" s="61"/>
      <c r="H3" s="61"/>
      <c r="I3" s="61"/>
    </row>
    <row r="4" spans="2:17" hidden="1" x14ac:dyDescent="0.35">
      <c r="B4" s="67" t="s">
        <v>82</v>
      </c>
      <c r="C4" s="68">
        <f>'Estimated Sale'!H12</f>
        <v>2551440000</v>
      </c>
      <c r="D4" s="68">
        <f>'Estimated Sale'!H22</f>
        <v>3175020000</v>
      </c>
      <c r="E4" s="68">
        <f>'Estimated Sale'!H32</f>
        <v>3647400000</v>
      </c>
      <c r="F4" s="68">
        <f>'Estimated Sale'!H42</f>
        <v>4372920000</v>
      </c>
      <c r="G4" s="61"/>
      <c r="H4" s="61"/>
      <c r="I4" s="61"/>
    </row>
    <row r="5" spans="2:17" hidden="1" x14ac:dyDescent="0.35">
      <c r="B5" s="69" t="s">
        <v>90</v>
      </c>
      <c r="C5" s="68"/>
      <c r="D5" s="70">
        <f>D4/C4-1</f>
        <v>0.24440316056814981</v>
      </c>
      <c r="E5" s="70">
        <f>E4/D4-1</f>
        <v>0.14878016516431392</v>
      </c>
      <c r="F5" s="70">
        <f>F4/E4-1</f>
        <v>0.19891429511432812</v>
      </c>
      <c r="G5" s="61"/>
      <c r="H5" s="61"/>
      <c r="I5" s="61"/>
    </row>
    <row r="6" spans="2:17" hidden="1" x14ac:dyDescent="0.35">
      <c r="B6" s="71" t="s">
        <v>93</v>
      </c>
      <c r="C6" s="72">
        <f>'Operating Expenses -Year'!D15</f>
        <v>1214664000</v>
      </c>
      <c r="D6" s="72">
        <f>'Operating Expenses -Year'!E15</f>
        <v>1511556000</v>
      </c>
      <c r="E6" s="72">
        <f>'Operating Expenses -Year'!F15</f>
        <v>1736382000</v>
      </c>
      <c r="F6" s="72">
        <f>'Operating Expenses -Year'!G15</f>
        <v>2081730000</v>
      </c>
      <c r="G6" s="61"/>
      <c r="H6" s="61"/>
      <c r="I6" s="61"/>
    </row>
    <row r="7" spans="2:17" hidden="1" x14ac:dyDescent="0.35">
      <c r="B7" s="204" t="s">
        <v>95</v>
      </c>
      <c r="C7" s="68">
        <f>C4-C6</f>
        <v>1336776000</v>
      </c>
      <c r="D7" s="68">
        <f t="shared" ref="D7:F7" si="0">D4-D6</f>
        <v>1663464000</v>
      </c>
      <c r="E7" s="68">
        <f t="shared" si="0"/>
        <v>1911018000</v>
      </c>
      <c r="F7" s="68">
        <f t="shared" si="0"/>
        <v>2291190000</v>
      </c>
      <c r="G7" s="61"/>
      <c r="H7" s="61"/>
      <c r="I7" s="61"/>
    </row>
    <row r="8" spans="2:17" hidden="1" x14ac:dyDescent="0.35">
      <c r="B8" s="73" t="s">
        <v>78</v>
      </c>
      <c r="C8" s="68">
        <f>SUM(C9:C17)</f>
        <v>1059098933.3333334</v>
      </c>
      <c r="D8" s="68">
        <f t="shared" ref="D8:F8" si="1">SUM(D9:D17)</f>
        <v>1294780733.3333333</v>
      </c>
      <c r="E8" s="68">
        <f t="shared" si="1"/>
        <v>1458030733.3333333</v>
      </c>
      <c r="F8" s="68">
        <f t="shared" si="1"/>
        <v>1825804000</v>
      </c>
      <c r="G8" s="61"/>
      <c r="H8" s="61"/>
      <c r="I8" s="61"/>
      <c r="J8" s="62"/>
      <c r="K8" s="62"/>
      <c r="L8" s="62"/>
      <c r="M8" s="62"/>
      <c r="N8" s="62"/>
      <c r="O8" s="62"/>
      <c r="P8" s="62"/>
      <c r="Q8" s="62"/>
    </row>
    <row r="9" spans="2:17" s="64" customFormat="1" hidden="1" x14ac:dyDescent="0.35">
      <c r="B9" s="74" t="str">
        <f>'Operating Expenses -Year'!C4</f>
        <v>Rental Expense</v>
      </c>
      <c r="C9" s="75">
        <f>'Operating Expenses -Year'!D4</f>
        <v>96000000</v>
      </c>
      <c r="D9" s="75">
        <f>'Operating Expenses -Year'!E4</f>
        <v>96000000</v>
      </c>
      <c r="E9" s="75">
        <f>'Operating Expenses -Year'!F4</f>
        <v>105600000</v>
      </c>
      <c r="F9" s="75">
        <f>'Operating Expenses -Year'!G4</f>
        <v>105600000</v>
      </c>
      <c r="G9" s="63"/>
      <c r="H9" s="63"/>
      <c r="I9" s="63"/>
    </row>
    <row r="10" spans="2:17" s="64" customFormat="1" hidden="1" x14ac:dyDescent="0.35">
      <c r="B10" s="74" t="str">
        <f>'Operating Expenses -Year'!C5</f>
        <v>Salary Expenses</v>
      </c>
      <c r="C10" s="75">
        <f>'Operating Expenses -Year'!D5</f>
        <v>517698800</v>
      </c>
      <c r="D10" s="75">
        <f>'Operating Expenses -Year'!E5</f>
        <v>657173600</v>
      </c>
      <c r="E10" s="75">
        <f>'Operating Expenses -Year'!F5</f>
        <v>855098600</v>
      </c>
      <c r="F10" s="75">
        <f>'Operating Expenses -Year'!G5</f>
        <v>1144918400</v>
      </c>
      <c r="G10" s="63"/>
      <c r="H10" s="63"/>
      <c r="I10" s="63"/>
      <c r="J10" s="65"/>
      <c r="K10" s="65"/>
      <c r="L10" s="65"/>
      <c r="M10" s="65"/>
      <c r="N10" s="65"/>
      <c r="O10" s="65"/>
      <c r="P10" s="65"/>
      <c r="Q10" s="65"/>
    </row>
    <row r="11" spans="2:17" s="64" customFormat="1" hidden="1" x14ac:dyDescent="0.35">
      <c r="B11" s="74" t="str">
        <f>'Operating Expenses -Year'!C6</f>
        <v>Hosting</v>
      </c>
      <c r="C11" s="75">
        <f>'Operating Expenses -Year'!D6</f>
        <v>2250000</v>
      </c>
      <c r="D11" s="75">
        <f>'Operating Expenses -Year'!E6</f>
        <v>3150000</v>
      </c>
      <c r="E11" s="75">
        <f>'Operating Expenses -Year'!F6</f>
        <v>4050000</v>
      </c>
      <c r="F11" s="75">
        <f>'Operating Expenses -Year'!G6</f>
        <v>4986000</v>
      </c>
      <c r="G11" s="63"/>
      <c r="H11" s="63"/>
      <c r="I11" s="63"/>
      <c r="J11" s="65"/>
      <c r="K11" s="65"/>
      <c r="L11" s="65"/>
      <c r="M11" s="65"/>
      <c r="N11" s="65"/>
      <c r="O11" s="65"/>
      <c r="P11" s="65"/>
      <c r="Q11" s="65"/>
    </row>
    <row r="12" spans="2:17" s="64" customFormat="1" hidden="1" x14ac:dyDescent="0.35">
      <c r="B12" s="74" t="str">
        <f>'Operating Expenses -Year'!C7</f>
        <v>Server</v>
      </c>
      <c r="C12" s="75">
        <f>'Operating Expenses -Year'!D7</f>
        <v>1450800</v>
      </c>
      <c r="D12" s="75">
        <f>'Operating Expenses -Year'!E7</f>
        <v>1810800</v>
      </c>
      <c r="E12" s="75">
        <f>'Operating Expenses -Year'!F7</f>
        <v>2722800</v>
      </c>
      <c r="F12" s="75">
        <f>'Operating Expenses -Year'!G7</f>
        <v>5446800</v>
      </c>
      <c r="G12" s="63"/>
      <c r="H12" s="63"/>
      <c r="I12" s="63"/>
      <c r="J12" s="65"/>
      <c r="K12" s="65"/>
      <c r="L12" s="65"/>
      <c r="M12" s="65"/>
      <c r="N12" s="65"/>
      <c r="O12" s="65"/>
      <c r="P12" s="65"/>
      <c r="Q12" s="65"/>
    </row>
    <row r="13" spans="2:17" s="64" customFormat="1" hidden="1" x14ac:dyDescent="0.35">
      <c r="B13" s="74" t="str">
        <f>'Operating Expenses -Year'!C8</f>
        <v>Supplies Expenses</v>
      </c>
      <c r="C13" s="75">
        <f>'Operating Expenses -Year'!D8</f>
        <v>18000000</v>
      </c>
      <c r="D13" s="75">
        <f>'Operating Expenses -Year'!E8</f>
        <v>19440000</v>
      </c>
      <c r="E13" s="75">
        <f>'Operating Expenses -Year'!F8</f>
        <v>20412000</v>
      </c>
      <c r="F13" s="75">
        <f>'Operating Expenses -Year'!G8</f>
        <v>21432600</v>
      </c>
      <c r="G13" s="63"/>
      <c r="H13" s="63"/>
      <c r="I13" s="63"/>
      <c r="J13" s="65"/>
      <c r="K13" s="65"/>
      <c r="L13" s="65"/>
      <c r="M13" s="65"/>
      <c r="N13" s="65"/>
      <c r="O13" s="65"/>
      <c r="P13" s="65"/>
      <c r="Q13" s="65"/>
    </row>
    <row r="14" spans="2:17" s="64" customFormat="1" hidden="1" x14ac:dyDescent="0.35">
      <c r="B14" s="74" t="str">
        <f>'Operating Expenses -Year'!C9</f>
        <v>Business-license tax</v>
      </c>
      <c r="C14" s="75">
        <f>'Operating Expenses -Year'!D9</f>
        <v>2000000</v>
      </c>
      <c r="D14" s="75">
        <f>'Operating Expenses -Year'!E9</f>
        <v>2000000</v>
      </c>
      <c r="E14" s="75">
        <f>'Operating Expenses -Year'!F9</f>
        <v>2000000</v>
      </c>
      <c r="F14" s="75">
        <f>'Operating Expenses -Year'!G9</f>
        <v>2000000</v>
      </c>
      <c r="G14" s="63"/>
      <c r="H14" s="63"/>
      <c r="I14" s="63"/>
      <c r="J14" s="65"/>
      <c r="K14" s="65"/>
      <c r="L14" s="65"/>
      <c r="M14" s="65"/>
      <c r="N14" s="65"/>
      <c r="O14" s="65"/>
      <c r="P14" s="65"/>
      <c r="Q14" s="65"/>
    </row>
    <row r="15" spans="2:17" s="64" customFormat="1" hidden="1" x14ac:dyDescent="0.35">
      <c r="B15" s="74" t="str">
        <f>'Operating Expenses -Year'!C16</f>
        <v>Marketing expense</v>
      </c>
      <c r="C15" s="75">
        <f>'Operating Expenses -Year'!D16</f>
        <v>382716000</v>
      </c>
      <c r="D15" s="75">
        <f>'Operating Expenses -Year'!E16</f>
        <v>476253000</v>
      </c>
      <c r="E15" s="75">
        <f>'Operating Expenses -Year'!F16</f>
        <v>437688000</v>
      </c>
      <c r="F15" s="75">
        <f>'Operating Expenses -Year'!G16</f>
        <v>524750400</v>
      </c>
      <c r="G15" s="63"/>
      <c r="H15" s="63"/>
      <c r="I15" s="63"/>
      <c r="J15" s="65"/>
      <c r="K15" s="65"/>
      <c r="L15" s="65"/>
      <c r="M15" s="65"/>
      <c r="N15" s="65"/>
      <c r="O15" s="65"/>
      <c r="P15" s="65"/>
      <c r="Q15" s="65"/>
    </row>
    <row r="16" spans="2:17" s="64" customFormat="1" hidden="1" x14ac:dyDescent="0.35">
      <c r="B16" s="74" t="str">
        <f>'Operating Expenses -Year'!C17</f>
        <v>Other expense</v>
      </c>
      <c r="C16" s="75">
        <f>'Operating Expenses -Year'!D17</f>
        <v>14400000</v>
      </c>
      <c r="D16" s="75">
        <f>'Operating Expenses -Year'!E17</f>
        <v>15120000</v>
      </c>
      <c r="E16" s="75">
        <f>'Operating Expenses -Year'!F17</f>
        <v>15876000</v>
      </c>
      <c r="F16" s="75">
        <f>'Operating Expenses -Year'!G17</f>
        <v>16669800</v>
      </c>
      <c r="G16" s="63"/>
      <c r="H16" s="63"/>
      <c r="I16" s="63"/>
      <c r="J16" s="65"/>
      <c r="K16" s="65"/>
      <c r="L16" s="65"/>
      <c r="M16" s="65"/>
      <c r="N16" s="65"/>
      <c r="O16" s="65"/>
      <c r="P16" s="65"/>
      <c r="Q16" s="65"/>
    </row>
    <row r="17" spans="2:17" s="64" customFormat="1" hidden="1" x14ac:dyDescent="0.35">
      <c r="B17" s="74" t="s">
        <v>104</v>
      </c>
      <c r="C17" s="75">
        <f>'Depreciation Expenses'!G14</f>
        <v>24583333.333333336</v>
      </c>
      <c r="D17" s="75">
        <f>'Depreciation Expenses'!H14</f>
        <v>23833333.333333336</v>
      </c>
      <c r="E17" s="75">
        <f>'Depreciation Expenses'!I14</f>
        <v>14583333.333333334</v>
      </c>
      <c r="F17" s="75">
        <f>'Depreciation Expenses'!J14</f>
        <v>0</v>
      </c>
      <c r="G17" s="63"/>
      <c r="H17" s="63"/>
      <c r="I17" s="63"/>
      <c r="J17" s="65"/>
      <c r="K17" s="65"/>
      <c r="L17" s="65"/>
      <c r="M17" s="65"/>
      <c r="N17" s="65"/>
      <c r="O17" s="65"/>
      <c r="P17" s="65"/>
      <c r="Q17" s="65"/>
    </row>
    <row r="18" spans="2:17" hidden="1" x14ac:dyDescent="0.35">
      <c r="B18" s="76" t="s">
        <v>68</v>
      </c>
      <c r="C18" s="68">
        <f>C7-C8</f>
        <v>277677066.66666663</v>
      </c>
      <c r="D18" s="68">
        <f t="shared" ref="D18:F18" si="2">D7-D8</f>
        <v>368683266.66666675</v>
      </c>
      <c r="E18" s="68">
        <f t="shared" si="2"/>
        <v>452987266.66666675</v>
      </c>
      <c r="F18" s="68">
        <f t="shared" si="2"/>
        <v>465386000</v>
      </c>
      <c r="G18" s="61"/>
      <c r="H18" s="61"/>
      <c r="I18" s="61"/>
    </row>
    <row r="19" spans="2:17" s="64" customFormat="1" hidden="1" x14ac:dyDescent="0.35">
      <c r="B19" s="74" t="s">
        <v>69</v>
      </c>
      <c r="C19" s="75">
        <f>IF(C18&gt;0,C18*20%,0)</f>
        <v>55535413.333333328</v>
      </c>
      <c r="D19" s="75">
        <f t="shared" ref="D19:F19" si="3">IF(D18&gt;0,D18*20%,0)</f>
        <v>73736653.333333358</v>
      </c>
      <c r="E19" s="75">
        <f t="shared" si="3"/>
        <v>90597453.333333358</v>
      </c>
      <c r="F19" s="75">
        <f t="shared" si="3"/>
        <v>93077200</v>
      </c>
      <c r="G19" s="63"/>
      <c r="H19" s="63"/>
      <c r="I19" s="63"/>
    </row>
    <row r="20" spans="2:17" hidden="1" x14ac:dyDescent="0.35">
      <c r="B20" s="77" t="s">
        <v>71</v>
      </c>
      <c r="C20" s="78">
        <f>C18-C19</f>
        <v>222141653.33333331</v>
      </c>
      <c r="D20" s="78">
        <f t="shared" ref="D20:F20" si="4">D18-D19</f>
        <v>294946613.33333337</v>
      </c>
      <c r="E20" s="78">
        <f t="shared" si="4"/>
        <v>362389813.33333337</v>
      </c>
      <c r="F20" s="78">
        <f t="shared" si="4"/>
        <v>372308800</v>
      </c>
      <c r="G20" s="61"/>
      <c r="H20" s="61"/>
      <c r="I20" s="61"/>
    </row>
    <row r="21" spans="2:17" hidden="1" x14ac:dyDescent="0.35">
      <c r="B21" s="69" t="s">
        <v>91</v>
      </c>
      <c r="C21" s="70">
        <f>C20/C4</f>
        <v>8.7065207621317101E-2</v>
      </c>
      <c r="D21" s="70">
        <f>D20/D4</f>
        <v>9.2895985957043847E-2</v>
      </c>
      <c r="E21" s="70">
        <f>E20/E4</f>
        <v>9.9355654255999723E-2</v>
      </c>
      <c r="F21" s="70">
        <f>F20/F4</f>
        <v>8.5139632099375251E-2</v>
      </c>
      <c r="G21" s="61"/>
      <c r="H21" s="61"/>
      <c r="I21" s="61"/>
    </row>
    <row r="22" spans="2:17" hidden="1" x14ac:dyDescent="0.35">
      <c r="B22" s="61"/>
      <c r="C22" s="61"/>
      <c r="D22" s="61"/>
      <c r="E22" s="61"/>
      <c r="F22" s="61"/>
      <c r="G22" s="61"/>
      <c r="H22" s="61"/>
      <c r="I22" s="61"/>
    </row>
    <row r="23" spans="2:17" hidden="1" x14ac:dyDescent="0.35">
      <c r="B23" s="61"/>
      <c r="C23" s="61"/>
      <c r="D23" s="61"/>
      <c r="E23" s="61"/>
      <c r="F23" s="61"/>
      <c r="G23" s="61"/>
      <c r="H23" s="61"/>
      <c r="I23" s="61"/>
    </row>
    <row r="24" spans="2:17" hidden="1" x14ac:dyDescent="0.35">
      <c r="B24" s="61"/>
      <c r="C24" s="61"/>
      <c r="D24" s="61"/>
      <c r="E24" s="61"/>
      <c r="F24" s="61"/>
      <c r="G24" s="66"/>
      <c r="H24" s="61"/>
      <c r="I24" s="61"/>
    </row>
    <row r="25" spans="2:17" hidden="1" x14ac:dyDescent="0.35">
      <c r="B25" s="61"/>
      <c r="C25" s="61"/>
      <c r="D25" s="61"/>
      <c r="E25" s="61"/>
      <c r="F25" s="61"/>
      <c r="G25" s="61"/>
      <c r="H25" s="61"/>
      <c r="I25" s="61"/>
    </row>
    <row r="26" spans="2:17" hidden="1" x14ac:dyDescent="0.35">
      <c r="B26" s="61"/>
      <c r="C26" s="61"/>
      <c r="D26" s="61"/>
      <c r="E26" s="61"/>
      <c r="F26" s="61"/>
      <c r="G26" s="61"/>
      <c r="H26" s="61"/>
      <c r="I26" s="61"/>
    </row>
    <row r="27" spans="2:17" hidden="1" x14ac:dyDescent="0.35">
      <c r="B27" s="61"/>
      <c r="C27" s="61"/>
      <c r="D27" s="61"/>
      <c r="E27" s="61"/>
      <c r="F27" s="61"/>
      <c r="G27" s="61"/>
      <c r="H27" s="61"/>
      <c r="I27" s="61"/>
    </row>
    <row r="28" spans="2:17" hidden="1" x14ac:dyDescent="0.35">
      <c r="B28" s="61"/>
      <c r="C28" s="61"/>
      <c r="D28" s="61"/>
      <c r="E28" s="61"/>
      <c r="F28" s="61"/>
      <c r="G28" s="61"/>
      <c r="H28" s="61"/>
      <c r="I28" s="61"/>
    </row>
    <row r="29" spans="2:17" hidden="1" x14ac:dyDescent="0.35">
      <c r="B29" s="61"/>
      <c r="C29" s="61"/>
      <c r="D29" s="61"/>
      <c r="E29" s="61"/>
      <c r="F29" s="61"/>
      <c r="G29" s="61"/>
      <c r="H29" s="61"/>
      <c r="I29" s="61"/>
    </row>
    <row r="30" spans="2:17" hidden="1" x14ac:dyDescent="0.35">
      <c r="B30" s="61"/>
      <c r="C30" s="61"/>
      <c r="D30" s="61"/>
      <c r="E30" s="61"/>
      <c r="F30" s="61"/>
      <c r="G30" s="61"/>
      <c r="H30" s="61"/>
      <c r="I30" s="61"/>
    </row>
    <row r="31" spans="2:17" hidden="1" x14ac:dyDescent="0.35">
      <c r="B31" s="61"/>
      <c r="C31" s="61"/>
      <c r="D31" s="61"/>
      <c r="E31" s="61"/>
      <c r="F31" s="61"/>
      <c r="G31" s="61"/>
      <c r="H31" s="61"/>
      <c r="I31" s="61"/>
    </row>
    <row r="32" spans="2:17" hidden="1" x14ac:dyDescent="0.35">
      <c r="B32" s="61"/>
      <c r="C32" s="61"/>
      <c r="D32" s="61"/>
      <c r="E32" s="61"/>
      <c r="F32" s="61"/>
      <c r="G32" s="61"/>
      <c r="H32" s="61"/>
      <c r="I32" s="61"/>
    </row>
    <row r="33" spans="2:9" hidden="1" x14ac:dyDescent="0.35">
      <c r="B33" s="61"/>
      <c r="C33" s="61"/>
      <c r="D33" s="61"/>
      <c r="E33" s="61"/>
      <c r="F33" s="61"/>
      <c r="G33" s="61"/>
      <c r="H33" s="61"/>
      <c r="I33" s="61"/>
    </row>
    <row r="34" spans="2:9" hidden="1" x14ac:dyDescent="0.35">
      <c r="B34" s="61"/>
      <c r="C34" s="61"/>
      <c r="D34" s="61"/>
      <c r="E34" s="61"/>
      <c r="F34" s="61"/>
      <c r="G34" s="61"/>
      <c r="H34" s="61"/>
      <c r="I34" s="61"/>
    </row>
    <row r="35" spans="2:9" hidden="1" x14ac:dyDescent="0.35">
      <c r="B35" s="61"/>
      <c r="C35" s="61"/>
      <c r="D35" s="61"/>
      <c r="E35" s="61"/>
      <c r="F35" s="61"/>
      <c r="G35" s="61"/>
      <c r="H35" s="61"/>
      <c r="I35" s="61"/>
    </row>
    <row r="36" spans="2:9" hidden="1" x14ac:dyDescent="0.35">
      <c r="B36" s="61"/>
      <c r="C36" s="61"/>
      <c r="D36" s="61"/>
      <c r="E36" s="61"/>
      <c r="F36" s="61"/>
      <c r="G36" s="61"/>
      <c r="H36" s="61"/>
      <c r="I36" s="61"/>
    </row>
    <row r="37" spans="2:9" hidden="1" x14ac:dyDescent="0.35">
      <c r="B37" s="61"/>
      <c r="C37" s="61"/>
      <c r="D37" s="61"/>
      <c r="E37" s="61"/>
      <c r="F37" s="61"/>
      <c r="G37" s="61"/>
      <c r="H37" s="61"/>
      <c r="I37" s="61"/>
    </row>
    <row r="38" spans="2:9" hidden="1" x14ac:dyDescent="0.35">
      <c r="B38" s="61"/>
      <c r="C38" s="61"/>
      <c r="D38" s="61"/>
      <c r="E38" s="61"/>
      <c r="F38" s="61"/>
      <c r="G38" s="61"/>
      <c r="H38" s="61"/>
      <c r="I38" s="61"/>
    </row>
    <row r="39" spans="2:9" hidden="1" x14ac:dyDescent="0.35">
      <c r="B39" s="61"/>
      <c r="C39" s="61"/>
      <c r="D39" s="61"/>
      <c r="E39" s="61"/>
      <c r="F39" s="61"/>
      <c r="G39" s="61"/>
      <c r="H39" s="61"/>
      <c r="I39" s="61"/>
    </row>
    <row r="40" spans="2:9" hidden="1" x14ac:dyDescent="0.35">
      <c r="B40" s="61"/>
      <c r="C40" s="61"/>
      <c r="D40" s="61"/>
      <c r="E40" s="61"/>
      <c r="F40" s="61"/>
      <c r="G40" s="61"/>
      <c r="H40" s="61"/>
      <c r="I40" s="61"/>
    </row>
    <row r="41" spans="2:9" hidden="1" x14ac:dyDescent="0.35">
      <c r="B41" s="61"/>
      <c r="C41" s="61"/>
      <c r="D41" s="61"/>
      <c r="E41" s="61"/>
      <c r="F41" s="61"/>
      <c r="G41" s="61"/>
      <c r="H41" s="61"/>
      <c r="I41" s="61"/>
    </row>
    <row r="42" spans="2:9" hidden="1" x14ac:dyDescent="0.35">
      <c r="B42" s="61"/>
      <c r="C42" s="61"/>
      <c r="D42" s="61"/>
      <c r="E42" s="61"/>
      <c r="F42" s="61"/>
      <c r="G42" s="61"/>
      <c r="H42" s="61"/>
      <c r="I42" s="61"/>
    </row>
    <row r="43" spans="2:9" hidden="1" x14ac:dyDescent="0.35">
      <c r="B43" s="61"/>
      <c r="C43" s="61"/>
      <c r="D43" s="61"/>
      <c r="E43" s="61"/>
      <c r="F43" s="61"/>
      <c r="G43" s="61"/>
      <c r="H43" s="61"/>
      <c r="I43" s="61"/>
    </row>
    <row r="44" spans="2:9" hidden="1" x14ac:dyDescent="0.35">
      <c r="B44" s="61"/>
      <c r="C44" s="61"/>
      <c r="D44" s="61"/>
      <c r="E44" s="61"/>
      <c r="F44" s="61"/>
      <c r="G44" s="61"/>
      <c r="H44" s="61"/>
      <c r="I44" s="61"/>
    </row>
    <row r="45" spans="2:9" hidden="1" x14ac:dyDescent="0.35">
      <c r="B45" s="61"/>
      <c r="C45" s="61"/>
      <c r="D45" s="61"/>
      <c r="E45" s="61"/>
      <c r="F45" s="61"/>
      <c r="G45" s="61"/>
      <c r="H45" s="61"/>
      <c r="I45" s="61"/>
    </row>
    <row r="46" spans="2:9" hidden="1" x14ac:dyDescent="0.35">
      <c r="B46" s="61"/>
      <c r="C46" s="61"/>
      <c r="D46" s="61"/>
      <c r="E46" s="61"/>
      <c r="F46" s="61"/>
      <c r="G46" s="61"/>
      <c r="H46" s="61"/>
      <c r="I46" s="61"/>
    </row>
    <row r="47" spans="2:9" hidden="1" x14ac:dyDescent="0.35">
      <c r="B47" s="61"/>
      <c r="C47" s="61"/>
      <c r="D47" s="61"/>
      <c r="E47" s="61"/>
      <c r="F47" s="61"/>
      <c r="G47" s="61"/>
      <c r="H47" s="61"/>
      <c r="I47" s="61"/>
    </row>
    <row r="48" spans="2:9" hidden="1" x14ac:dyDescent="0.35">
      <c r="B48" s="61"/>
      <c r="C48" s="61"/>
      <c r="D48" s="61"/>
      <c r="E48" s="61"/>
      <c r="F48" s="61"/>
      <c r="G48" s="61"/>
      <c r="H48" s="61"/>
      <c r="I48" s="61"/>
    </row>
    <row r="49" spans="2:9" hidden="1" x14ac:dyDescent="0.35">
      <c r="B49" s="61"/>
      <c r="C49" s="61"/>
      <c r="D49" s="61"/>
      <c r="E49" s="61"/>
      <c r="F49" s="61"/>
      <c r="G49" s="61"/>
      <c r="H49" s="61"/>
      <c r="I49" s="61"/>
    </row>
    <row r="50" spans="2:9" hidden="1" x14ac:dyDescent="0.35">
      <c r="B50" s="61"/>
      <c r="C50" s="61"/>
      <c r="D50" s="61"/>
      <c r="E50" s="61"/>
      <c r="F50" s="61"/>
      <c r="G50" s="61"/>
      <c r="H50" s="61"/>
      <c r="I50" s="61"/>
    </row>
    <row r="51" spans="2:9" hidden="1" x14ac:dyDescent="0.35">
      <c r="B51" s="61"/>
      <c r="C51" s="61"/>
      <c r="D51" s="61"/>
      <c r="E51" s="61"/>
      <c r="F51" s="61"/>
      <c r="G51" s="61"/>
      <c r="H51" s="61"/>
      <c r="I51" s="61"/>
    </row>
    <row r="52" spans="2:9" hidden="1" x14ac:dyDescent="0.35">
      <c r="B52" s="61"/>
      <c r="C52" s="61"/>
      <c r="D52" s="61"/>
      <c r="E52" s="61"/>
      <c r="F52" s="61"/>
      <c r="G52" s="61"/>
      <c r="H52" s="61"/>
      <c r="I52" s="61"/>
    </row>
    <row r="53" spans="2:9" hidden="1" x14ac:dyDescent="0.35">
      <c r="B53" s="61"/>
      <c r="C53" s="61"/>
      <c r="D53" s="61"/>
      <c r="E53" s="61"/>
      <c r="F53" s="61"/>
      <c r="G53" s="61"/>
      <c r="H53" s="61"/>
      <c r="I53" s="61"/>
    </row>
    <row r="54" spans="2:9" hidden="1" x14ac:dyDescent="0.35">
      <c r="B54" s="61"/>
      <c r="C54" s="61"/>
      <c r="D54" s="61"/>
      <c r="E54" s="61"/>
      <c r="F54" s="61"/>
      <c r="G54" s="61"/>
      <c r="H54" s="61"/>
      <c r="I54" s="61"/>
    </row>
    <row r="55" spans="2:9" hidden="1" x14ac:dyDescent="0.35">
      <c r="B55" s="61"/>
      <c r="C55" s="61"/>
      <c r="D55" s="61"/>
      <c r="E55" s="61"/>
      <c r="F55" s="61"/>
      <c r="G55" s="61"/>
      <c r="H55" s="61"/>
      <c r="I55" s="61"/>
    </row>
    <row r="56" spans="2:9" hidden="1" x14ac:dyDescent="0.35">
      <c r="B56" s="61"/>
      <c r="C56" s="61"/>
      <c r="D56" s="61"/>
      <c r="E56" s="61"/>
      <c r="F56" s="61"/>
      <c r="G56" s="61"/>
      <c r="H56" s="61"/>
      <c r="I56" s="61"/>
    </row>
    <row r="57" spans="2:9" hidden="1" x14ac:dyDescent="0.35">
      <c r="B57" s="61"/>
      <c r="C57" s="61"/>
      <c r="D57" s="61"/>
      <c r="E57" s="61"/>
      <c r="F57" s="61"/>
      <c r="G57" s="61"/>
      <c r="H57" s="61"/>
      <c r="I57" s="61"/>
    </row>
    <row r="58" spans="2:9" hidden="1" x14ac:dyDescent="0.35">
      <c r="B58" s="61"/>
      <c r="C58" s="61"/>
      <c r="D58" s="61"/>
      <c r="E58" s="61"/>
      <c r="F58" s="61"/>
      <c r="G58" s="61"/>
      <c r="H58" s="61"/>
      <c r="I58" s="61"/>
    </row>
    <row r="59" spans="2:9" hidden="1" x14ac:dyDescent="0.35">
      <c r="B59" s="61"/>
      <c r="C59" s="61"/>
      <c r="D59" s="61"/>
      <c r="E59" s="61"/>
      <c r="F59" s="61"/>
      <c r="G59" s="61"/>
      <c r="H59" s="61"/>
      <c r="I59" s="61"/>
    </row>
    <row r="60" spans="2:9" hidden="1" x14ac:dyDescent="0.35">
      <c r="B60" s="61"/>
      <c r="C60" s="61"/>
      <c r="D60" s="61"/>
      <c r="E60" s="61"/>
      <c r="F60" s="61"/>
      <c r="G60" s="61"/>
      <c r="H60" s="61"/>
      <c r="I60" s="61"/>
    </row>
    <row r="61" spans="2:9" hidden="1" x14ac:dyDescent="0.35">
      <c r="B61" s="61"/>
      <c r="C61" s="61"/>
      <c r="D61" s="61"/>
      <c r="E61" s="61"/>
      <c r="F61" s="61"/>
      <c r="G61" s="61"/>
      <c r="H61" s="61"/>
      <c r="I61" s="61"/>
    </row>
    <row r="62" spans="2:9" hidden="1" x14ac:dyDescent="0.35">
      <c r="B62" s="61"/>
      <c r="C62" s="61"/>
      <c r="D62" s="61"/>
      <c r="E62" s="61"/>
      <c r="F62" s="61"/>
      <c r="G62" s="61"/>
      <c r="H62" s="61"/>
      <c r="I62" s="61"/>
    </row>
    <row r="63" spans="2:9" hidden="1" x14ac:dyDescent="0.35">
      <c r="B63" s="61"/>
      <c r="C63" s="61"/>
      <c r="D63" s="61"/>
      <c r="E63" s="61"/>
      <c r="F63" s="61"/>
      <c r="G63" s="61"/>
      <c r="H63" s="61"/>
      <c r="I63" s="61"/>
    </row>
    <row r="64" spans="2:9" hidden="1" x14ac:dyDescent="0.35">
      <c r="B64" s="61"/>
      <c r="C64" s="61"/>
      <c r="D64" s="61"/>
      <c r="E64" s="61"/>
      <c r="F64" s="61"/>
      <c r="G64" s="61"/>
      <c r="H64" s="61"/>
      <c r="I64" s="61"/>
    </row>
    <row r="65" spans="2:9" hidden="1" x14ac:dyDescent="0.35">
      <c r="B65" s="61"/>
      <c r="C65" s="61"/>
      <c r="D65" s="61"/>
      <c r="E65" s="61"/>
      <c r="F65" s="61"/>
      <c r="G65" s="61"/>
      <c r="H65" s="61"/>
      <c r="I65" s="61"/>
    </row>
    <row r="66" spans="2:9" hidden="1" x14ac:dyDescent="0.35">
      <c r="B66" s="61"/>
      <c r="C66" s="61"/>
      <c r="D66" s="61"/>
      <c r="E66" s="61"/>
      <c r="F66" s="61"/>
      <c r="G66" s="61"/>
      <c r="H66" s="61"/>
      <c r="I66" s="61"/>
    </row>
    <row r="67" spans="2:9" hidden="1" x14ac:dyDescent="0.35">
      <c r="B67" s="61"/>
      <c r="C67" s="61"/>
      <c r="D67" s="61"/>
      <c r="E67" s="61"/>
      <c r="F67" s="61"/>
      <c r="G67" s="61"/>
      <c r="H67" s="61"/>
      <c r="I67" s="61"/>
    </row>
    <row r="68" spans="2:9" hidden="1" x14ac:dyDescent="0.35">
      <c r="B68" s="61"/>
      <c r="C68" s="61"/>
      <c r="D68" s="61"/>
      <c r="E68" s="61"/>
      <c r="F68" s="61"/>
      <c r="G68" s="61"/>
      <c r="H68" s="61"/>
      <c r="I68" s="61"/>
    </row>
    <row r="69" spans="2:9" hidden="1" x14ac:dyDescent="0.35">
      <c r="B69" s="61"/>
      <c r="C69" s="61"/>
      <c r="D69" s="61"/>
      <c r="E69" s="61"/>
      <c r="F69" s="61"/>
      <c r="G69" s="61"/>
      <c r="H69" s="61"/>
      <c r="I69" s="61"/>
    </row>
    <row r="70" spans="2:9" hidden="1" x14ac:dyDescent="0.35">
      <c r="B70" s="61"/>
      <c r="C70" s="61"/>
      <c r="D70" s="61"/>
      <c r="E70" s="61"/>
      <c r="F70" s="61"/>
      <c r="G70" s="61"/>
      <c r="H70" s="61"/>
      <c r="I70" s="61"/>
    </row>
    <row r="71" spans="2:9" hidden="1" x14ac:dyDescent="0.35">
      <c r="B71" s="61"/>
      <c r="C71" s="61"/>
      <c r="D71" s="61"/>
      <c r="E71" s="61"/>
      <c r="F71" s="61"/>
      <c r="G71" s="61"/>
      <c r="H71" s="61"/>
      <c r="I71" s="61"/>
    </row>
    <row r="72" spans="2:9" hidden="1" x14ac:dyDescent="0.35">
      <c r="B72" s="61"/>
      <c r="C72" s="61"/>
      <c r="D72" s="61"/>
      <c r="E72" s="61"/>
      <c r="F72" s="61"/>
      <c r="G72" s="61"/>
      <c r="H72" s="61"/>
      <c r="I72" s="61"/>
    </row>
    <row r="73" spans="2:9" hidden="1" x14ac:dyDescent="0.35">
      <c r="B73" s="61"/>
      <c r="C73" s="61"/>
      <c r="D73" s="61"/>
      <c r="E73" s="61"/>
      <c r="F73" s="61"/>
      <c r="G73" s="61"/>
      <c r="H73" s="61"/>
      <c r="I73" s="61"/>
    </row>
    <row r="74" spans="2:9" hidden="1" x14ac:dyDescent="0.35">
      <c r="B74" s="61"/>
      <c r="C74" s="61"/>
      <c r="D74" s="61"/>
      <c r="E74" s="61"/>
      <c r="F74" s="61"/>
      <c r="G74" s="61"/>
      <c r="H74" s="61"/>
      <c r="I74" s="61"/>
    </row>
    <row r="75" spans="2:9" hidden="1" x14ac:dyDescent="0.35">
      <c r="B75" s="61"/>
      <c r="C75" s="61"/>
      <c r="D75" s="61"/>
      <c r="E75" s="61"/>
      <c r="F75" s="61"/>
      <c r="G75" s="61"/>
      <c r="H75" s="61"/>
      <c r="I75" s="61"/>
    </row>
    <row r="76" spans="2:9" hidden="1" x14ac:dyDescent="0.35">
      <c r="B76" s="61"/>
      <c r="C76" s="61"/>
      <c r="D76" s="61"/>
      <c r="E76" s="61"/>
      <c r="F76" s="61"/>
      <c r="G76" s="61"/>
      <c r="H76" s="61"/>
      <c r="I76" s="61"/>
    </row>
    <row r="77" spans="2:9" hidden="1" x14ac:dyDescent="0.35">
      <c r="B77" s="61"/>
      <c r="C77" s="61"/>
      <c r="D77" s="61"/>
      <c r="E77" s="61"/>
      <c r="F77" s="61"/>
      <c r="G77" s="61"/>
      <c r="H77" s="61"/>
      <c r="I77" s="61"/>
    </row>
    <row r="78" spans="2:9" hidden="1" x14ac:dyDescent="0.35">
      <c r="B78" s="61"/>
      <c r="C78" s="61"/>
      <c r="D78" s="61"/>
      <c r="E78" s="61"/>
      <c r="F78" s="61"/>
      <c r="G78" s="61"/>
      <c r="H78" s="61"/>
      <c r="I78" s="61"/>
    </row>
    <row r="79" spans="2:9" hidden="1" x14ac:dyDescent="0.35">
      <c r="B79" s="61"/>
      <c r="C79" s="61"/>
      <c r="D79" s="61"/>
      <c r="E79" s="61"/>
      <c r="F79" s="61"/>
      <c r="G79" s="61"/>
      <c r="H79" s="61"/>
      <c r="I79" s="61"/>
    </row>
    <row r="80" spans="2:9" hidden="1" x14ac:dyDescent="0.35">
      <c r="B80" s="61"/>
      <c r="C80" s="61"/>
      <c r="D80" s="61"/>
      <c r="E80" s="61"/>
      <c r="F80" s="61"/>
      <c r="G80" s="61"/>
      <c r="H80" s="61"/>
      <c r="I80" s="61"/>
    </row>
    <row r="81" spans="2:9" hidden="1" x14ac:dyDescent="0.35">
      <c r="B81" s="61"/>
      <c r="C81" s="61"/>
      <c r="D81" s="61"/>
      <c r="E81" s="61"/>
      <c r="F81" s="61"/>
      <c r="G81" s="61"/>
      <c r="H81" s="61"/>
      <c r="I81" s="61"/>
    </row>
    <row r="82" spans="2:9" hidden="1" x14ac:dyDescent="0.35">
      <c r="B82" s="61"/>
      <c r="C82" s="61"/>
      <c r="D82" s="61"/>
      <c r="E82" s="61"/>
      <c r="F82" s="61"/>
      <c r="G82" s="61"/>
      <c r="H82" s="61"/>
      <c r="I82" s="61"/>
    </row>
    <row r="83" spans="2:9" hidden="1" x14ac:dyDescent="0.35">
      <c r="B83" s="61"/>
      <c r="C83" s="61"/>
      <c r="D83" s="61"/>
      <c r="E83" s="61"/>
      <c r="F83" s="61"/>
      <c r="G83" s="61"/>
      <c r="H83" s="61"/>
      <c r="I83" s="61"/>
    </row>
    <row r="84" spans="2:9" hidden="1" x14ac:dyDescent="0.35">
      <c r="B84" s="61"/>
      <c r="C84" s="61"/>
      <c r="D84" s="61"/>
      <c r="E84" s="61"/>
      <c r="F84" s="61"/>
      <c r="G84" s="61"/>
      <c r="H84" s="61"/>
      <c r="I84" s="61"/>
    </row>
    <row r="85" spans="2:9" hidden="1" x14ac:dyDescent="0.35">
      <c r="B85" s="61"/>
      <c r="C85" s="61"/>
      <c r="D85" s="61"/>
      <c r="E85" s="61"/>
      <c r="F85" s="61"/>
      <c r="G85" s="61"/>
      <c r="H85" s="61"/>
      <c r="I85" s="61"/>
    </row>
    <row r="86" spans="2:9" hidden="1" x14ac:dyDescent="0.35">
      <c r="B86" s="61"/>
      <c r="C86" s="61"/>
      <c r="D86" s="61"/>
      <c r="E86" s="61"/>
      <c r="F86" s="61"/>
      <c r="G86" s="61"/>
      <c r="H86" s="61"/>
      <c r="I86" s="61"/>
    </row>
    <row r="87" spans="2:9" hidden="1" x14ac:dyDescent="0.35">
      <c r="B87" s="61"/>
      <c r="C87" s="61"/>
      <c r="D87" s="61"/>
      <c r="E87" s="61"/>
      <c r="F87" s="61"/>
      <c r="G87" s="61"/>
      <c r="H87" s="61"/>
      <c r="I87" s="61"/>
    </row>
    <row r="88" spans="2:9" hidden="1" x14ac:dyDescent="0.35">
      <c r="B88" s="61"/>
      <c r="C88" s="61"/>
      <c r="D88" s="61"/>
      <c r="E88" s="61"/>
      <c r="F88" s="61"/>
      <c r="G88" s="61"/>
      <c r="H88" s="61"/>
      <c r="I88" s="61"/>
    </row>
    <row r="89" spans="2:9" hidden="1" x14ac:dyDescent="0.35">
      <c r="B89" s="61"/>
      <c r="C89" s="61"/>
      <c r="D89" s="61"/>
      <c r="E89" s="61"/>
      <c r="F89" s="61"/>
      <c r="G89" s="61"/>
      <c r="H89" s="61"/>
      <c r="I89" s="61"/>
    </row>
    <row r="90" spans="2:9" hidden="1" x14ac:dyDescent="0.35">
      <c r="B90" s="61"/>
      <c r="C90" s="61"/>
      <c r="D90" s="61"/>
      <c r="E90" s="61"/>
      <c r="F90" s="61"/>
      <c r="G90" s="61"/>
      <c r="H90" s="61"/>
      <c r="I90" s="61"/>
    </row>
    <row r="91" spans="2:9" hidden="1" x14ac:dyDescent="0.35">
      <c r="B91" s="61"/>
      <c r="C91" s="61"/>
      <c r="D91" s="61"/>
      <c r="E91" s="61"/>
      <c r="F91" s="61"/>
      <c r="G91" s="61"/>
      <c r="H91" s="61"/>
      <c r="I91" s="61"/>
    </row>
    <row r="92" spans="2:9" hidden="1" x14ac:dyDescent="0.35">
      <c r="B92" s="61"/>
      <c r="C92" s="61"/>
      <c r="D92" s="61"/>
      <c r="E92" s="61"/>
      <c r="F92" s="61"/>
      <c r="G92" s="61"/>
      <c r="H92" s="61"/>
      <c r="I92" s="61"/>
    </row>
    <row r="93" spans="2:9" hidden="1" x14ac:dyDescent="0.35">
      <c r="B93" s="61"/>
      <c r="C93" s="61"/>
      <c r="D93" s="61"/>
      <c r="E93" s="61"/>
      <c r="F93" s="61"/>
      <c r="G93" s="61"/>
      <c r="H93" s="61"/>
      <c r="I93" s="61"/>
    </row>
    <row r="94" spans="2:9" hidden="1" x14ac:dyDescent="0.35">
      <c r="B94" s="61"/>
      <c r="C94" s="61"/>
      <c r="D94" s="61"/>
      <c r="E94" s="61"/>
      <c r="F94" s="61"/>
      <c r="G94" s="61"/>
      <c r="H94" s="61"/>
      <c r="I94" s="61"/>
    </row>
    <row r="95" spans="2:9" hidden="1" x14ac:dyDescent="0.35">
      <c r="B95" s="61"/>
      <c r="C95" s="61"/>
      <c r="D95" s="61"/>
      <c r="E95" s="61"/>
      <c r="F95" s="61"/>
      <c r="G95" s="61"/>
      <c r="H95" s="61"/>
      <c r="I95" s="61"/>
    </row>
    <row r="96" spans="2:9" hidden="1" x14ac:dyDescent="0.35">
      <c r="B96" s="61"/>
      <c r="C96" s="61"/>
      <c r="D96" s="61"/>
      <c r="E96" s="61"/>
      <c r="F96" s="61"/>
      <c r="G96" s="61"/>
      <c r="H96" s="61"/>
      <c r="I96" s="61"/>
    </row>
    <row r="97" spans="2:9" hidden="1" x14ac:dyDescent="0.35">
      <c r="B97" s="61"/>
      <c r="C97" s="61"/>
      <c r="D97" s="61"/>
      <c r="E97" s="61"/>
      <c r="F97" s="61"/>
      <c r="G97" s="61"/>
      <c r="H97" s="61"/>
      <c r="I97" s="61"/>
    </row>
    <row r="98" spans="2:9" hidden="1" x14ac:dyDescent="0.35">
      <c r="B98" s="61"/>
      <c r="C98" s="61"/>
      <c r="D98" s="61"/>
      <c r="E98" s="61"/>
      <c r="F98" s="61"/>
      <c r="G98" s="61"/>
      <c r="H98" s="61"/>
      <c r="I98" s="61"/>
    </row>
    <row r="99" spans="2:9" hidden="1" x14ac:dyDescent="0.35">
      <c r="B99" s="61"/>
      <c r="C99" s="61"/>
      <c r="D99" s="61"/>
      <c r="E99" s="61"/>
      <c r="F99" s="61"/>
      <c r="G99" s="61"/>
      <c r="H99" s="61"/>
      <c r="I99" s="61"/>
    </row>
    <row r="100" spans="2:9" hidden="1" x14ac:dyDescent="0.35">
      <c r="B100" s="61"/>
      <c r="C100" s="61"/>
      <c r="D100" s="61"/>
      <c r="E100" s="61"/>
      <c r="F100" s="61"/>
      <c r="G100" s="61"/>
      <c r="H100" s="61"/>
      <c r="I100" s="61"/>
    </row>
    <row r="101" spans="2:9" hidden="1" x14ac:dyDescent="0.35">
      <c r="B101" s="61"/>
      <c r="C101" s="61"/>
      <c r="D101" s="61"/>
      <c r="E101" s="61"/>
      <c r="F101" s="61"/>
      <c r="G101" s="61"/>
      <c r="H101" s="61"/>
      <c r="I101" s="61"/>
    </row>
    <row r="102" spans="2:9" hidden="1" x14ac:dyDescent="0.35">
      <c r="B102" s="61"/>
      <c r="C102" s="61"/>
      <c r="D102" s="61"/>
      <c r="E102" s="61"/>
      <c r="F102" s="61"/>
      <c r="G102" s="61"/>
      <c r="H102" s="61"/>
      <c r="I102" s="61"/>
    </row>
    <row r="103" spans="2:9" hidden="1" x14ac:dyDescent="0.35">
      <c r="B103" s="61"/>
      <c r="C103" s="61"/>
      <c r="D103" s="61"/>
      <c r="E103" s="61"/>
      <c r="F103" s="61"/>
      <c r="G103" s="61"/>
      <c r="H103" s="61"/>
      <c r="I103" s="61"/>
    </row>
    <row r="104" spans="2:9" hidden="1" x14ac:dyDescent="0.35">
      <c r="B104" s="61"/>
      <c r="C104" s="61"/>
      <c r="D104" s="61"/>
      <c r="E104" s="61"/>
      <c r="F104" s="61"/>
      <c r="G104" s="61"/>
      <c r="H104" s="61"/>
      <c r="I104" s="61"/>
    </row>
    <row r="105" spans="2:9" hidden="1" x14ac:dyDescent="0.35">
      <c r="B105" s="61"/>
      <c r="C105" s="61"/>
      <c r="D105" s="61"/>
      <c r="E105" s="61"/>
      <c r="F105" s="61"/>
      <c r="G105" s="61"/>
      <c r="H105" s="61"/>
      <c r="I105" s="61"/>
    </row>
    <row r="106" spans="2:9" hidden="1" x14ac:dyDescent="0.35">
      <c r="B106" s="61"/>
      <c r="C106" s="61"/>
      <c r="D106" s="61"/>
      <c r="E106" s="61"/>
      <c r="F106" s="61"/>
      <c r="G106" s="61"/>
      <c r="H106" s="61"/>
      <c r="I106" s="61"/>
    </row>
    <row r="107" spans="2:9" hidden="1" x14ac:dyDescent="0.35">
      <c r="B107" s="61"/>
      <c r="C107" s="61"/>
      <c r="D107" s="61"/>
      <c r="E107" s="61"/>
      <c r="F107" s="61"/>
      <c r="G107" s="61"/>
      <c r="H107" s="61"/>
      <c r="I107" s="61"/>
    </row>
    <row r="108" spans="2:9" hidden="1" x14ac:dyDescent="0.35">
      <c r="B108" s="61"/>
      <c r="C108" s="61"/>
      <c r="D108" s="61"/>
      <c r="E108" s="61"/>
      <c r="F108" s="61"/>
      <c r="G108" s="61"/>
      <c r="H108" s="61"/>
      <c r="I108" s="61"/>
    </row>
    <row r="109" spans="2:9" hidden="1" x14ac:dyDescent="0.35">
      <c r="B109" s="61"/>
      <c r="C109" s="61"/>
      <c r="D109" s="61"/>
      <c r="E109" s="61"/>
      <c r="F109" s="61"/>
      <c r="G109" s="61"/>
      <c r="H109" s="61"/>
      <c r="I109" s="61"/>
    </row>
    <row r="110" spans="2:9" hidden="1" x14ac:dyDescent="0.35">
      <c r="B110" s="61"/>
      <c r="C110" s="61"/>
      <c r="D110" s="61"/>
      <c r="E110" s="61"/>
      <c r="F110" s="61"/>
      <c r="G110" s="61"/>
      <c r="H110" s="61"/>
      <c r="I110" s="61"/>
    </row>
    <row r="111" spans="2:9" hidden="1" x14ac:dyDescent="0.35">
      <c r="B111" s="61"/>
      <c r="C111" s="61"/>
      <c r="D111" s="61"/>
      <c r="E111" s="61"/>
      <c r="F111" s="61"/>
      <c r="G111" s="61"/>
      <c r="H111" s="61"/>
      <c r="I111" s="61"/>
    </row>
    <row r="112" spans="2:9" hidden="1" x14ac:dyDescent="0.35">
      <c r="B112" s="61"/>
      <c r="C112" s="61"/>
      <c r="D112" s="61"/>
      <c r="E112" s="61"/>
      <c r="F112" s="61"/>
      <c r="G112" s="61"/>
      <c r="H112" s="61"/>
      <c r="I112" s="61"/>
    </row>
    <row r="113" spans="2:9" hidden="1" x14ac:dyDescent="0.35">
      <c r="B113" s="61"/>
      <c r="C113" s="61"/>
      <c r="D113" s="61"/>
      <c r="E113" s="61"/>
      <c r="F113" s="61"/>
      <c r="G113" s="61"/>
      <c r="H113" s="61"/>
      <c r="I113" s="61"/>
    </row>
    <row r="114" spans="2:9" hidden="1" x14ac:dyDescent="0.35">
      <c r="B114" s="61"/>
      <c r="C114" s="61"/>
      <c r="D114" s="61"/>
      <c r="E114" s="61"/>
      <c r="F114" s="61"/>
      <c r="G114" s="61"/>
      <c r="H114" s="61"/>
      <c r="I114" s="61"/>
    </row>
    <row r="115" spans="2:9" hidden="1" x14ac:dyDescent="0.35">
      <c r="B115" s="61"/>
      <c r="C115" s="61"/>
      <c r="D115" s="61"/>
      <c r="E115" s="61"/>
      <c r="F115" s="61"/>
      <c r="G115" s="61"/>
      <c r="H115" s="61"/>
      <c r="I115" s="61"/>
    </row>
    <row r="116" spans="2:9" hidden="1" x14ac:dyDescent="0.35">
      <c r="B116" s="61"/>
      <c r="C116" s="61"/>
      <c r="D116" s="61"/>
      <c r="E116" s="61"/>
      <c r="F116" s="61"/>
      <c r="G116" s="61"/>
      <c r="H116" s="61"/>
      <c r="I116" s="61"/>
    </row>
    <row r="117" spans="2:9" hidden="1" x14ac:dyDescent="0.35">
      <c r="B117" s="61"/>
      <c r="C117" s="61"/>
      <c r="D117" s="61"/>
      <c r="E117" s="61"/>
      <c r="F117" s="61"/>
      <c r="G117" s="61"/>
      <c r="H117" s="61"/>
      <c r="I117" s="61"/>
    </row>
    <row r="118" spans="2:9" hidden="1" x14ac:dyDescent="0.35">
      <c r="B118" s="61"/>
      <c r="C118" s="61"/>
      <c r="D118" s="61"/>
      <c r="E118" s="61"/>
      <c r="F118" s="61"/>
      <c r="G118" s="61"/>
      <c r="H118" s="61"/>
      <c r="I118" s="61"/>
    </row>
    <row r="119" spans="2:9" hidden="1" x14ac:dyDescent="0.35">
      <c r="B119" s="61"/>
      <c r="C119" s="61"/>
      <c r="D119" s="61"/>
      <c r="E119" s="61"/>
      <c r="F119" s="61"/>
      <c r="G119" s="61"/>
      <c r="H119" s="61"/>
      <c r="I119" s="61"/>
    </row>
    <row r="120" spans="2:9" hidden="1" x14ac:dyDescent="0.35">
      <c r="B120" s="61"/>
      <c r="C120" s="61"/>
      <c r="D120" s="61"/>
      <c r="E120" s="61"/>
      <c r="F120" s="61"/>
      <c r="G120" s="61"/>
      <c r="H120" s="61"/>
      <c r="I120" s="61"/>
    </row>
    <row r="121" spans="2:9" hidden="1" x14ac:dyDescent="0.35">
      <c r="B121" s="61"/>
      <c r="C121" s="61"/>
      <c r="D121" s="61"/>
      <c r="E121" s="61"/>
      <c r="F121" s="61"/>
      <c r="G121" s="61"/>
      <c r="H121" s="61"/>
      <c r="I121" s="61"/>
    </row>
    <row r="122" spans="2:9" hidden="1" x14ac:dyDescent="0.35">
      <c r="B122" s="61"/>
      <c r="C122" s="61"/>
      <c r="D122" s="61"/>
      <c r="E122" s="61"/>
      <c r="F122" s="61"/>
      <c r="G122" s="61"/>
      <c r="H122" s="61"/>
      <c r="I122" s="61"/>
    </row>
    <row r="123" spans="2:9" hidden="1" x14ac:dyDescent="0.35">
      <c r="B123" s="61"/>
      <c r="C123" s="61"/>
      <c r="D123" s="61"/>
      <c r="E123" s="61"/>
      <c r="F123" s="61"/>
      <c r="G123" s="61"/>
      <c r="H123" s="61"/>
      <c r="I123" s="61"/>
    </row>
    <row r="124" spans="2:9" hidden="1" x14ac:dyDescent="0.35">
      <c r="B124" s="61"/>
      <c r="C124" s="61"/>
      <c r="D124" s="61"/>
      <c r="E124" s="61"/>
      <c r="F124" s="61"/>
      <c r="G124" s="61"/>
      <c r="H124" s="61"/>
      <c r="I124" s="61"/>
    </row>
    <row r="125" spans="2:9" hidden="1" x14ac:dyDescent="0.35">
      <c r="B125" s="61"/>
      <c r="C125" s="61"/>
      <c r="D125" s="61"/>
      <c r="E125" s="61"/>
      <c r="F125" s="61"/>
      <c r="G125" s="61"/>
      <c r="H125" s="61"/>
      <c r="I125" s="61"/>
    </row>
    <row r="126" spans="2:9" hidden="1" x14ac:dyDescent="0.35">
      <c r="B126" s="61"/>
      <c r="C126" s="61"/>
      <c r="D126" s="61"/>
      <c r="E126" s="61"/>
      <c r="F126" s="61"/>
      <c r="G126" s="61"/>
      <c r="H126" s="61"/>
      <c r="I126" s="61"/>
    </row>
    <row r="127" spans="2:9" hidden="1" x14ac:dyDescent="0.35">
      <c r="B127" s="61"/>
      <c r="C127" s="61"/>
      <c r="D127" s="61"/>
      <c r="E127" s="61"/>
      <c r="F127" s="61"/>
      <c r="G127" s="61"/>
      <c r="H127" s="61"/>
      <c r="I127" s="61"/>
    </row>
    <row r="128" spans="2:9" hidden="1" x14ac:dyDescent="0.35">
      <c r="B128" s="61"/>
      <c r="C128" s="61"/>
      <c r="D128" s="61"/>
      <c r="E128" s="61"/>
      <c r="F128" s="61"/>
      <c r="G128" s="61"/>
      <c r="H128" s="61"/>
      <c r="I128" s="61"/>
    </row>
    <row r="129" spans="2:9" hidden="1" x14ac:dyDescent="0.35">
      <c r="B129" s="61"/>
      <c r="C129" s="61"/>
      <c r="D129" s="61"/>
      <c r="E129" s="61"/>
      <c r="F129" s="61"/>
      <c r="G129" s="61"/>
      <c r="H129" s="61"/>
      <c r="I129" s="61"/>
    </row>
    <row r="130" spans="2:9" hidden="1" x14ac:dyDescent="0.35">
      <c r="B130" s="61"/>
      <c r="C130" s="61"/>
      <c r="D130" s="61"/>
      <c r="E130" s="61"/>
      <c r="F130" s="61"/>
      <c r="G130" s="61"/>
      <c r="H130" s="61"/>
      <c r="I130" s="61"/>
    </row>
    <row r="131" spans="2:9" hidden="1" x14ac:dyDescent="0.35">
      <c r="B131" s="61"/>
      <c r="C131" s="61"/>
      <c r="D131" s="61"/>
      <c r="E131" s="61"/>
      <c r="F131" s="61"/>
      <c r="G131" s="61"/>
      <c r="H131" s="61"/>
      <c r="I131" s="61"/>
    </row>
    <row r="132" spans="2:9" hidden="1" x14ac:dyDescent="0.35">
      <c r="B132" s="61"/>
      <c r="C132" s="61"/>
      <c r="D132" s="61"/>
      <c r="E132" s="61"/>
      <c r="F132" s="61"/>
      <c r="G132" s="61"/>
      <c r="H132" s="61"/>
      <c r="I132" s="61"/>
    </row>
    <row r="133" spans="2:9" hidden="1" x14ac:dyDescent="0.35">
      <c r="B133" s="61"/>
      <c r="C133" s="61"/>
      <c r="D133" s="61"/>
      <c r="E133" s="61"/>
      <c r="F133" s="61"/>
      <c r="G133" s="61"/>
      <c r="H133" s="61"/>
      <c r="I133" s="61"/>
    </row>
    <row r="134" spans="2:9" hidden="1" x14ac:dyDescent="0.35">
      <c r="B134" s="61"/>
      <c r="C134" s="61"/>
      <c r="D134" s="61"/>
      <c r="E134" s="61"/>
      <c r="F134" s="61"/>
      <c r="G134" s="61"/>
      <c r="H134" s="61"/>
      <c r="I134" s="61"/>
    </row>
    <row r="135" spans="2:9" hidden="1" x14ac:dyDescent="0.35">
      <c r="B135" s="61"/>
      <c r="C135" s="61"/>
      <c r="D135" s="61"/>
      <c r="E135" s="61"/>
      <c r="F135" s="61"/>
      <c r="G135" s="61"/>
      <c r="H135" s="61"/>
      <c r="I135" s="61"/>
    </row>
    <row r="136" spans="2:9" hidden="1" x14ac:dyDescent="0.35">
      <c r="B136" s="61"/>
      <c r="C136" s="61"/>
      <c r="D136" s="61"/>
      <c r="E136" s="61"/>
      <c r="F136" s="61"/>
      <c r="G136" s="61"/>
      <c r="H136" s="61"/>
      <c r="I136" s="61"/>
    </row>
    <row r="137" spans="2:9" hidden="1" x14ac:dyDescent="0.35">
      <c r="B137" s="61"/>
      <c r="C137" s="61"/>
      <c r="D137" s="61"/>
      <c r="E137" s="61"/>
      <c r="F137" s="61"/>
      <c r="G137" s="61"/>
      <c r="H137" s="61"/>
      <c r="I137" s="61"/>
    </row>
    <row r="138" spans="2:9" hidden="1" x14ac:dyDescent="0.35">
      <c r="B138" s="61"/>
      <c r="C138" s="61"/>
      <c r="D138" s="61"/>
      <c r="E138" s="61"/>
      <c r="F138" s="61"/>
      <c r="G138" s="61"/>
      <c r="H138" s="61"/>
      <c r="I138" s="61"/>
    </row>
    <row r="139" spans="2:9" hidden="1" x14ac:dyDescent="0.35">
      <c r="B139" s="61"/>
      <c r="C139" s="61"/>
      <c r="D139" s="61"/>
      <c r="E139" s="61"/>
      <c r="F139" s="61"/>
      <c r="G139" s="61"/>
      <c r="H139" s="61"/>
      <c r="I139" s="61"/>
    </row>
    <row r="140" spans="2:9" hidden="1" x14ac:dyDescent="0.35">
      <c r="B140" s="61"/>
      <c r="C140" s="61"/>
      <c r="D140" s="61"/>
      <c r="E140" s="61"/>
      <c r="F140" s="61"/>
      <c r="G140" s="61"/>
      <c r="H140" s="61"/>
      <c r="I140" s="61"/>
    </row>
    <row r="141" spans="2:9" hidden="1" x14ac:dyDescent="0.35">
      <c r="B141" s="61"/>
      <c r="C141" s="61"/>
      <c r="D141" s="61"/>
      <c r="E141" s="61"/>
      <c r="F141" s="61"/>
      <c r="G141" s="61"/>
      <c r="H141" s="61"/>
      <c r="I141" s="61"/>
    </row>
    <row r="142" spans="2:9" hidden="1" x14ac:dyDescent="0.35">
      <c r="B142" s="61"/>
      <c r="C142" s="61"/>
      <c r="D142" s="61"/>
      <c r="E142" s="61"/>
      <c r="F142" s="61"/>
      <c r="G142" s="61"/>
      <c r="H142" s="61"/>
      <c r="I142" s="61"/>
    </row>
    <row r="143" spans="2:9" hidden="1" x14ac:dyDescent="0.35">
      <c r="B143" s="61"/>
      <c r="C143" s="61"/>
      <c r="D143" s="61"/>
      <c r="E143" s="61"/>
      <c r="F143" s="61"/>
      <c r="G143" s="61"/>
      <c r="H143" s="61"/>
      <c r="I143" s="61"/>
    </row>
    <row r="144" spans="2:9" hidden="1" x14ac:dyDescent="0.35">
      <c r="B144" s="61"/>
      <c r="C144" s="61"/>
      <c r="D144" s="61"/>
      <c r="E144" s="61"/>
      <c r="F144" s="61"/>
      <c r="G144" s="61"/>
      <c r="H144" s="61"/>
      <c r="I144" s="61"/>
    </row>
    <row r="145" spans="2:9" hidden="1" x14ac:dyDescent="0.35">
      <c r="B145" s="61"/>
      <c r="C145" s="61"/>
      <c r="D145" s="61"/>
      <c r="E145" s="61"/>
      <c r="F145" s="61"/>
      <c r="G145" s="61"/>
      <c r="H145" s="61"/>
      <c r="I145" s="61"/>
    </row>
    <row r="146" spans="2:9" hidden="1" x14ac:dyDescent="0.35">
      <c r="B146" s="61"/>
      <c r="C146" s="61"/>
      <c r="D146" s="61"/>
      <c r="E146" s="61"/>
      <c r="F146" s="61"/>
      <c r="G146" s="61"/>
      <c r="H146" s="61"/>
      <c r="I146" s="61"/>
    </row>
    <row r="147" spans="2:9" hidden="1" x14ac:dyDescent="0.35">
      <c r="B147" s="61"/>
      <c r="C147" s="61"/>
      <c r="D147" s="61"/>
      <c r="E147" s="61"/>
      <c r="F147" s="61"/>
      <c r="G147" s="61"/>
      <c r="H147" s="61"/>
      <c r="I147" s="61"/>
    </row>
    <row r="148" spans="2:9" hidden="1" x14ac:dyDescent="0.35">
      <c r="B148" s="61"/>
      <c r="C148" s="61"/>
      <c r="D148" s="61"/>
      <c r="E148" s="61"/>
      <c r="F148" s="61"/>
      <c r="G148" s="61"/>
      <c r="H148" s="61"/>
      <c r="I148" s="61"/>
    </row>
    <row r="149" spans="2:9" hidden="1" x14ac:dyDescent="0.35">
      <c r="B149" s="61"/>
      <c r="C149" s="61"/>
      <c r="D149" s="61"/>
      <c r="E149" s="61"/>
      <c r="F149" s="61"/>
      <c r="G149" s="61"/>
      <c r="H149" s="61"/>
      <c r="I149" s="61"/>
    </row>
    <row r="150" spans="2:9" hidden="1" x14ac:dyDescent="0.35">
      <c r="B150" s="61"/>
      <c r="C150" s="61"/>
      <c r="D150" s="61"/>
      <c r="E150" s="61"/>
      <c r="F150" s="61"/>
      <c r="G150" s="61"/>
      <c r="H150" s="61"/>
      <c r="I150" s="61"/>
    </row>
    <row r="151" spans="2:9" hidden="1" x14ac:dyDescent="0.35">
      <c r="B151" s="61"/>
      <c r="C151" s="61"/>
      <c r="D151" s="61"/>
      <c r="E151" s="61"/>
      <c r="F151" s="61"/>
      <c r="G151" s="61"/>
      <c r="H151" s="61"/>
      <c r="I151" s="61"/>
    </row>
    <row r="152" spans="2:9" hidden="1" x14ac:dyDescent="0.35">
      <c r="B152" s="61"/>
      <c r="C152" s="61"/>
      <c r="D152" s="61"/>
      <c r="E152" s="61"/>
      <c r="F152" s="61"/>
      <c r="G152" s="61"/>
      <c r="H152" s="61"/>
      <c r="I152" s="61"/>
    </row>
    <row r="153" spans="2:9" hidden="1" x14ac:dyDescent="0.35">
      <c r="B153" s="61"/>
      <c r="C153" s="61"/>
      <c r="D153" s="61"/>
      <c r="E153" s="61"/>
      <c r="F153" s="61"/>
      <c r="G153" s="61"/>
      <c r="H153" s="61"/>
      <c r="I153" s="61"/>
    </row>
    <row r="154" spans="2:9" hidden="1" x14ac:dyDescent="0.35">
      <c r="B154" s="61"/>
      <c r="C154" s="61"/>
      <c r="D154" s="61"/>
      <c r="E154" s="61"/>
      <c r="F154" s="61"/>
      <c r="G154" s="61"/>
      <c r="H154" s="61"/>
      <c r="I154" s="61"/>
    </row>
    <row r="155" spans="2:9" hidden="1" x14ac:dyDescent="0.35">
      <c r="B155" s="61"/>
      <c r="C155" s="61"/>
      <c r="D155" s="61"/>
      <c r="E155" s="61"/>
      <c r="F155" s="61"/>
      <c r="G155" s="61"/>
      <c r="H155" s="61"/>
      <c r="I155" s="61"/>
    </row>
    <row r="156" spans="2:9" hidden="1" x14ac:dyDescent="0.35">
      <c r="B156" s="61"/>
      <c r="C156" s="61"/>
      <c r="D156" s="61"/>
      <c r="E156" s="61"/>
      <c r="F156" s="61"/>
      <c r="G156" s="61"/>
      <c r="H156" s="61"/>
      <c r="I156" s="61"/>
    </row>
    <row r="157" spans="2:9" hidden="1" x14ac:dyDescent="0.35">
      <c r="B157" s="61"/>
      <c r="C157" s="61"/>
      <c r="D157" s="61"/>
      <c r="E157" s="61"/>
      <c r="F157" s="61"/>
      <c r="G157" s="61"/>
      <c r="H157" s="61"/>
      <c r="I157" s="61"/>
    </row>
    <row r="158" spans="2:9" hidden="1" x14ac:dyDescent="0.35">
      <c r="B158" s="61"/>
      <c r="C158" s="61"/>
      <c r="D158" s="61"/>
      <c r="E158" s="61"/>
      <c r="F158" s="61"/>
      <c r="G158" s="61"/>
      <c r="H158" s="61"/>
      <c r="I158" s="61"/>
    </row>
    <row r="159" spans="2:9" hidden="1" x14ac:dyDescent="0.35">
      <c r="B159" s="61"/>
      <c r="C159" s="61"/>
      <c r="D159" s="61"/>
      <c r="E159" s="61"/>
      <c r="F159" s="61"/>
      <c r="G159" s="61"/>
      <c r="H159" s="61"/>
      <c r="I159" s="61"/>
    </row>
    <row r="160" spans="2:9" hidden="1" x14ac:dyDescent="0.35">
      <c r="B160" s="61"/>
      <c r="C160" s="61"/>
      <c r="D160" s="61"/>
      <c r="E160" s="61"/>
      <c r="F160" s="61"/>
      <c r="G160" s="61"/>
      <c r="H160" s="61"/>
      <c r="I160" s="61"/>
    </row>
    <row r="161" spans="2:9" hidden="1" x14ac:dyDescent="0.35">
      <c r="B161" s="61"/>
      <c r="C161" s="61"/>
      <c r="D161" s="61"/>
      <c r="E161" s="61"/>
      <c r="F161" s="61"/>
      <c r="G161" s="61"/>
      <c r="H161" s="61"/>
      <c r="I161" s="61"/>
    </row>
    <row r="162" spans="2:9" hidden="1" x14ac:dyDescent="0.35">
      <c r="B162" s="61"/>
      <c r="C162" s="61"/>
      <c r="D162" s="61"/>
      <c r="E162" s="61"/>
      <c r="F162" s="61"/>
      <c r="G162" s="61"/>
      <c r="H162" s="61"/>
      <c r="I162" s="61"/>
    </row>
    <row r="163" spans="2:9" hidden="1" x14ac:dyDescent="0.35">
      <c r="B163" s="61"/>
      <c r="C163" s="61"/>
      <c r="D163" s="61"/>
      <c r="E163" s="61"/>
      <c r="F163" s="61"/>
      <c r="G163" s="61"/>
      <c r="H163" s="61"/>
      <c r="I163" s="61"/>
    </row>
    <row r="164" spans="2:9" hidden="1" x14ac:dyDescent="0.35">
      <c r="B164" s="61"/>
      <c r="C164" s="61"/>
      <c r="D164" s="61"/>
      <c r="E164" s="61"/>
      <c r="F164" s="61"/>
      <c r="G164" s="61"/>
      <c r="H164" s="61"/>
      <c r="I164" s="61"/>
    </row>
    <row r="165" spans="2:9" hidden="1" x14ac:dyDescent="0.35">
      <c r="B165" s="61"/>
      <c r="C165" s="61"/>
      <c r="D165" s="61"/>
      <c r="E165" s="61"/>
      <c r="F165" s="61"/>
      <c r="G165" s="61"/>
      <c r="H165" s="61"/>
      <c r="I165" s="61"/>
    </row>
    <row r="166" spans="2:9" hidden="1" x14ac:dyDescent="0.35">
      <c r="B166" s="61"/>
      <c r="C166" s="61"/>
      <c r="D166" s="61"/>
      <c r="E166" s="61"/>
      <c r="F166" s="61"/>
      <c r="G166" s="61"/>
      <c r="H166" s="61"/>
      <c r="I166" s="61"/>
    </row>
    <row r="167" spans="2:9" hidden="1" x14ac:dyDescent="0.35">
      <c r="B167" s="61"/>
      <c r="C167" s="61"/>
      <c r="D167" s="61"/>
      <c r="E167" s="61"/>
      <c r="F167" s="61"/>
      <c r="G167" s="61"/>
      <c r="H167" s="61"/>
      <c r="I167" s="61"/>
    </row>
    <row r="168" spans="2:9" hidden="1" x14ac:dyDescent="0.35">
      <c r="B168" s="61"/>
      <c r="C168" s="61"/>
      <c r="D168" s="61"/>
      <c r="E168" s="61"/>
      <c r="F168" s="61"/>
      <c r="G168" s="61"/>
      <c r="H168" s="61"/>
      <c r="I168" s="61"/>
    </row>
    <row r="169" spans="2:9" hidden="1" x14ac:dyDescent="0.35">
      <c r="B169" s="61"/>
      <c r="C169" s="61"/>
      <c r="D169" s="61"/>
      <c r="E169" s="61"/>
      <c r="F169" s="61"/>
      <c r="G169" s="61"/>
      <c r="H169" s="61"/>
      <c r="I169" s="61"/>
    </row>
    <row r="170" spans="2:9" hidden="1" x14ac:dyDescent="0.35">
      <c r="B170" s="61"/>
      <c r="C170" s="61"/>
      <c r="D170" s="61"/>
      <c r="E170" s="61"/>
      <c r="F170" s="61"/>
      <c r="G170" s="61"/>
      <c r="H170" s="61"/>
      <c r="I170" s="61"/>
    </row>
    <row r="171" spans="2:9" hidden="1" x14ac:dyDescent="0.35">
      <c r="B171" s="61"/>
      <c r="C171" s="61"/>
      <c r="D171" s="61"/>
      <c r="E171" s="61"/>
      <c r="F171" s="61"/>
      <c r="G171" s="61"/>
      <c r="H171" s="61"/>
      <c r="I171" s="61"/>
    </row>
    <row r="172" spans="2:9" hidden="1" x14ac:dyDescent="0.35">
      <c r="B172" s="61"/>
      <c r="C172" s="61"/>
      <c r="D172" s="61"/>
      <c r="E172" s="61"/>
      <c r="F172" s="61"/>
      <c r="G172" s="61"/>
      <c r="H172" s="61"/>
      <c r="I172" s="61"/>
    </row>
    <row r="173" spans="2:9" hidden="1" x14ac:dyDescent="0.35">
      <c r="B173" s="61"/>
      <c r="C173" s="61"/>
      <c r="D173" s="61"/>
      <c r="E173" s="61"/>
      <c r="F173" s="61"/>
      <c r="G173" s="61"/>
      <c r="H173" s="61"/>
      <c r="I173" s="61"/>
    </row>
    <row r="174" spans="2:9" hidden="1" x14ac:dyDescent="0.35">
      <c r="B174" s="61"/>
      <c r="C174" s="61"/>
      <c r="D174" s="61"/>
      <c r="E174" s="61"/>
      <c r="F174" s="61"/>
      <c r="G174" s="61"/>
      <c r="H174" s="61"/>
      <c r="I174" s="61"/>
    </row>
    <row r="175" spans="2:9" hidden="1" x14ac:dyDescent="0.35">
      <c r="B175" s="61"/>
      <c r="C175" s="61"/>
      <c r="D175" s="61"/>
      <c r="E175" s="61"/>
      <c r="F175" s="61"/>
      <c r="G175" s="61"/>
      <c r="H175" s="61"/>
      <c r="I175" s="61"/>
    </row>
    <row r="176" spans="2:9" hidden="1" x14ac:dyDescent="0.35">
      <c r="B176" s="61"/>
      <c r="C176" s="61"/>
      <c r="D176" s="61"/>
      <c r="E176" s="61"/>
      <c r="F176" s="61"/>
      <c r="G176" s="61"/>
      <c r="H176" s="61"/>
      <c r="I176" s="61"/>
    </row>
    <row r="177" spans="2:9" hidden="1" x14ac:dyDescent="0.35">
      <c r="B177" s="61"/>
      <c r="C177" s="61"/>
      <c r="D177" s="61"/>
      <c r="E177" s="61"/>
      <c r="F177" s="61"/>
      <c r="G177" s="61"/>
      <c r="H177" s="61"/>
      <c r="I177" s="61"/>
    </row>
    <row r="178" spans="2:9" hidden="1" x14ac:dyDescent="0.35">
      <c r="B178" s="61"/>
      <c r="C178" s="61"/>
      <c r="D178" s="61"/>
      <c r="E178" s="61"/>
      <c r="F178" s="61"/>
      <c r="G178" s="61"/>
      <c r="H178" s="61"/>
      <c r="I178" s="61"/>
    </row>
    <row r="179" spans="2:9" hidden="1" x14ac:dyDescent="0.35">
      <c r="B179" s="61"/>
      <c r="C179" s="61"/>
      <c r="D179" s="61"/>
      <c r="E179" s="61"/>
      <c r="F179" s="61"/>
      <c r="G179" s="61"/>
      <c r="H179" s="61"/>
      <c r="I179" s="61"/>
    </row>
    <row r="180" spans="2:9" hidden="1" x14ac:dyDescent="0.35">
      <c r="B180" s="61"/>
      <c r="C180" s="61"/>
      <c r="D180" s="61"/>
      <c r="E180" s="61"/>
      <c r="F180" s="61"/>
      <c r="G180" s="61"/>
      <c r="H180" s="61"/>
      <c r="I180" s="61"/>
    </row>
    <row r="181" spans="2:9" hidden="1" x14ac:dyDescent="0.35">
      <c r="B181" s="61"/>
      <c r="C181" s="61"/>
      <c r="D181" s="61"/>
      <c r="E181" s="61"/>
      <c r="F181" s="61"/>
      <c r="G181" s="61"/>
      <c r="H181" s="61"/>
      <c r="I181" s="61"/>
    </row>
    <row r="182" spans="2:9" hidden="1" x14ac:dyDescent="0.35">
      <c r="B182" s="61"/>
      <c r="C182" s="61"/>
      <c r="D182" s="61"/>
      <c r="E182" s="61"/>
      <c r="F182" s="61"/>
      <c r="G182" s="61"/>
      <c r="H182" s="61"/>
      <c r="I182" s="61"/>
    </row>
    <row r="183" spans="2:9" hidden="1" x14ac:dyDescent="0.35">
      <c r="B183" s="61"/>
      <c r="C183" s="61"/>
      <c r="D183" s="61"/>
      <c r="E183" s="61"/>
      <c r="F183" s="61"/>
      <c r="G183" s="61"/>
      <c r="H183" s="61"/>
      <c r="I183" s="61"/>
    </row>
    <row r="184" spans="2:9" hidden="1" x14ac:dyDescent="0.35">
      <c r="B184" s="61"/>
      <c r="C184" s="61"/>
      <c r="D184" s="61"/>
      <c r="E184" s="61"/>
      <c r="F184" s="61"/>
      <c r="G184" s="61"/>
      <c r="H184" s="61"/>
      <c r="I184" s="61"/>
    </row>
    <row r="185" spans="2:9" hidden="1" x14ac:dyDescent="0.35">
      <c r="B185" s="61"/>
      <c r="C185" s="61"/>
      <c r="D185" s="61"/>
      <c r="E185" s="61"/>
      <c r="F185" s="61"/>
      <c r="G185" s="61"/>
      <c r="H185" s="61"/>
      <c r="I185" s="61"/>
    </row>
    <row r="186" spans="2:9" hidden="1" x14ac:dyDescent="0.35">
      <c r="B186" s="61"/>
      <c r="C186" s="61"/>
      <c r="D186" s="61"/>
      <c r="E186" s="61"/>
      <c r="F186" s="61"/>
      <c r="G186" s="61"/>
      <c r="H186" s="61"/>
      <c r="I186" s="61"/>
    </row>
    <row r="187" spans="2:9" hidden="1" x14ac:dyDescent="0.35">
      <c r="B187" s="61"/>
      <c r="C187" s="61"/>
      <c r="D187" s="61"/>
      <c r="E187" s="61"/>
      <c r="F187" s="61"/>
      <c r="G187" s="61"/>
      <c r="H187" s="61"/>
      <c r="I187" s="61"/>
    </row>
    <row r="188" spans="2:9" hidden="1" x14ac:dyDescent="0.35">
      <c r="B188" s="61"/>
      <c r="C188" s="61"/>
      <c r="D188" s="61"/>
      <c r="E188" s="61"/>
      <c r="F188" s="61"/>
      <c r="G188" s="61"/>
      <c r="H188" s="61"/>
      <c r="I188" s="61"/>
    </row>
    <row r="189" spans="2:9" hidden="1" x14ac:dyDescent="0.35">
      <c r="B189" s="61"/>
      <c r="C189" s="61"/>
      <c r="D189" s="61"/>
      <c r="E189" s="61"/>
      <c r="F189" s="61"/>
      <c r="G189" s="61"/>
      <c r="H189" s="61"/>
      <c r="I189" s="61"/>
    </row>
    <row r="190" spans="2:9" hidden="1" x14ac:dyDescent="0.35">
      <c r="B190" s="61"/>
      <c r="C190" s="61"/>
      <c r="D190" s="61"/>
      <c r="E190" s="61"/>
      <c r="F190" s="61"/>
      <c r="G190" s="61"/>
      <c r="H190" s="61"/>
      <c r="I190" s="61"/>
    </row>
    <row r="191" spans="2:9" hidden="1" x14ac:dyDescent="0.35">
      <c r="B191" s="61"/>
      <c r="C191" s="61"/>
      <c r="D191" s="61"/>
      <c r="E191" s="61"/>
      <c r="F191" s="61"/>
      <c r="G191" s="61"/>
      <c r="H191" s="61"/>
      <c r="I191" s="61"/>
    </row>
    <row r="192" spans="2:9" hidden="1" x14ac:dyDescent="0.35">
      <c r="B192" s="61"/>
      <c r="C192" s="61"/>
      <c r="D192" s="61"/>
      <c r="E192" s="61"/>
      <c r="F192" s="61"/>
      <c r="G192" s="61"/>
      <c r="H192" s="61"/>
      <c r="I192" s="61"/>
    </row>
    <row r="193" spans="2:9" hidden="1" x14ac:dyDescent="0.35">
      <c r="B193" s="61"/>
      <c r="C193" s="61"/>
      <c r="D193" s="61"/>
      <c r="E193" s="61"/>
      <c r="F193" s="61"/>
      <c r="G193" s="61"/>
      <c r="H193" s="61"/>
      <c r="I193" s="61"/>
    </row>
    <row r="194" spans="2:9" hidden="1" x14ac:dyDescent="0.35">
      <c r="B194" s="61"/>
      <c r="C194" s="61"/>
      <c r="D194" s="61"/>
      <c r="E194" s="61"/>
      <c r="F194" s="61"/>
      <c r="G194" s="61"/>
      <c r="H194" s="61"/>
      <c r="I194" s="61"/>
    </row>
    <row r="195" spans="2:9" hidden="1" x14ac:dyDescent="0.35">
      <c r="B195" s="61"/>
      <c r="C195" s="61"/>
      <c r="D195" s="61"/>
      <c r="E195" s="61"/>
      <c r="F195" s="61"/>
      <c r="G195" s="61"/>
      <c r="H195" s="61"/>
      <c r="I195" s="61"/>
    </row>
    <row r="196" spans="2:9" hidden="1" x14ac:dyDescent="0.35">
      <c r="B196" s="61"/>
      <c r="C196" s="61"/>
      <c r="D196" s="61"/>
      <c r="E196" s="61"/>
      <c r="F196" s="61"/>
      <c r="G196" s="61"/>
      <c r="H196" s="61"/>
      <c r="I196" s="61"/>
    </row>
    <row r="197" spans="2:9" hidden="1" x14ac:dyDescent="0.35">
      <c r="B197" s="61"/>
      <c r="C197" s="61"/>
      <c r="D197" s="61"/>
      <c r="E197" s="61"/>
      <c r="F197" s="61"/>
      <c r="G197" s="61"/>
      <c r="H197" s="61"/>
      <c r="I197" s="61"/>
    </row>
    <row r="198" spans="2:9" hidden="1" x14ac:dyDescent="0.35">
      <c r="B198" s="61"/>
      <c r="C198" s="61"/>
      <c r="D198" s="61"/>
      <c r="E198" s="61"/>
      <c r="F198" s="61"/>
      <c r="G198" s="61"/>
      <c r="H198" s="61"/>
      <c r="I198" s="61"/>
    </row>
    <row r="199" spans="2:9" hidden="1" x14ac:dyDescent="0.35">
      <c r="B199" s="61"/>
      <c r="C199" s="61"/>
      <c r="D199" s="61"/>
      <c r="E199" s="61"/>
      <c r="F199" s="61"/>
      <c r="G199" s="61"/>
      <c r="H199" s="61"/>
      <c r="I199" s="61"/>
    </row>
    <row r="200" spans="2:9" hidden="1" x14ac:dyDescent="0.35">
      <c r="B200" s="61"/>
      <c r="C200" s="61"/>
      <c r="D200" s="61"/>
      <c r="E200" s="61"/>
      <c r="F200" s="61"/>
      <c r="G200" s="61"/>
      <c r="H200" s="61"/>
      <c r="I200" s="61"/>
    </row>
    <row r="201" spans="2:9" hidden="1" x14ac:dyDescent="0.35">
      <c r="B201" s="61"/>
      <c r="C201" s="61"/>
      <c r="D201" s="61"/>
      <c r="E201" s="61"/>
      <c r="F201" s="61"/>
      <c r="G201" s="61"/>
      <c r="H201" s="61"/>
      <c r="I201" s="61"/>
    </row>
    <row r="202" spans="2:9" hidden="1" x14ac:dyDescent="0.35">
      <c r="B202" s="61"/>
      <c r="C202" s="61"/>
      <c r="D202" s="61"/>
      <c r="E202" s="61"/>
      <c r="F202" s="61"/>
      <c r="G202" s="61"/>
      <c r="H202" s="61"/>
      <c r="I202" s="61"/>
    </row>
    <row r="203" spans="2:9" hidden="1" x14ac:dyDescent="0.35">
      <c r="B203" s="61"/>
      <c r="C203" s="61"/>
      <c r="D203" s="61"/>
      <c r="E203" s="61"/>
      <c r="F203" s="61"/>
      <c r="G203" s="61"/>
      <c r="H203" s="61"/>
      <c r="I203" s="61"/>
    </row>
    <row r="204" spans="2:9" hidden="1" x14ac:dyDescent="0.35">
      <c r="B204" s="61"/>
      <c r="C204" s="61"/>
      <c r="D204" s="61"/>
      <c r="E204" s="61"/>
      <c r="F204" s="61"/>
      <c r="G204" s="61"/>
      <c r="H204" s="61"/>
      <c r="I204" s="61"/>
    </row>
    <row r="205" spans="2:9" hidden="1" x14ac:dyDescent="0.35">
      <c r="B205" s="61"/>
      <c r="C205" s="61"/>
      <c r="D205" s="61"/>
      <c r="E205" s="61"/>
      <c r="F205" s="61"/>
      <c r="G205" s="61"/>
      <c r="H205" s="61"/>
      <c r="I205" s="61"/>
    </row>
    <row r="206" spans="2:9" hidden="1" x14ac:dyDescent="0.35">
      <c r="B206" s="61"/>
      <c r="C206" s="61"/>
      <c r="D206" s="61"/>
      <c r="E206" s="61"/>
      <c r="F206" s="61"/>
      <c r="G206" s="61"/>
      <c r="H206" s="61"/>
      <c r="I206" s="61"/>
    </row>
    <row r="207" spans="2:9" hidden="1" x14ac:dyDescent="0.35">
      <c r="B207" s="61"/>
      <c r="C207" s="61"/>
      <c r="D207" s="61"/>
      <c r="E207" s="61"/>
      <c r="F207" s="61"/>
      <c r="G207" s="61"/>
      <c r="H207" s="61"/>
      <c r="I207" s="61"/>
    </row>
    <row r="208" spans="2:9" hidden="1" x14ac:dyDescent="0.35">
      <c r="B208" s="61"/>
      <c r="C208" s="61"/>
      <c r="D208" s="61"/>
      <c r="E208" s="61"/>
      <c r="F208" s="61"/>
      <c r="G208" s="61"/>
      <c r="H208" s="61"/>
      <c r="I208" s="61"/>
    </row>
    <row r="209" spans="2:9" hidden="1" x14ac:dyDescent="0.35">
      <c r="B209" s="61"/>
      <c r="C209" s="61"/>
      <c r="D209" s="61"/>
      <c r="E209" s="61"/>
      <c r="F209" s="61"/>
      <c r="G209" s="61"/>
      <c r="H209" s="61"/>
      <c r="I209" s="61"/>
    </row>
    <row r="210" spans="2:9" hidden="1" x14ac:dyDescent="0.35">
      <c r="B210" s="61"/>
      <c r="C210" s="61"/>
      <c r="D210" s="61"/>
      <c r="E210" s="61"/>
      <c r="F210" s="61"/>
      <c r="G210" s="61"/>
      <c r="H210" s="61"/>
      <c r="I210" s="61"/>
    </row>
    <row r="211" spans="2:9" hidden="1" x14ac:dyDescent="0.35">
      <c r="B211" s="61"/>
      <c r="C211" s="61"/>
      <c r="D211" s="61"/>
      <c r="E211" s="61"/>
      <c r="F211" s="61"/>
      <c r="G211" s="61"/>
      <c r="H211" s="61"/>
      <c r="I211" s="61"/>
    </row>
    <row r="212" spans="2:9" hidden="1" x14ac:dyDescent="0.35">
      <c r="B212" s="61"/>
      <c r="C212" s="61"/>
      <c r="D212" s="61"/>
      <c r="E212" s="61"/>
      <c r="F212" s="61"/>
      <c r="G212" s="61"/>
      <c r="H212" s="61"/>
      <c r="I212" s="61"/>
    </row>
    <row r="213" spans="2:9" hidden="1" x14ac:dyDescent="0.35">
      <c r="B213" s="61"/>
      <c r="C213" s="61"/>
      <c r="D213" s="61"/>
      <c r="E213" s="61"/>
      <c r="F213" s="61"/>
      <c r="G213" s="61"/>
      <c r="H213" s="61"/>
      <c r="I213" s="61"/>
    </row>
    <row r="214" spans="2:9" hidden="1" x14ac:dyDescent="0.35">
      <c r="B214" s="61"/>
      <c r="C214" s="61"/>
      <c r="D214" s="61"/>
      <c r="E214" s="61"/>
      <c r="F214" s="61"/>
      <c r="G214" s="61"/>
      <c r="H214" s="61"/>
      <c r="I214" s="61"/>
    </row>
    <row r="215" spans="2:9" hidden="1" x14ac:dyDescent="0.35">
      <c r="B215" s="61"/>
      <c r="C215" s="61"/>
      <c r="D215" s="61"/>
      <c r="E215" s="61"/>
      <c r="F215" s="61"/>
      <c r="G215" s="61"/>
      <c r="H215" s="61"/>
      <c r="I215" s="61"/>
    </row>
    <row r="216" spans="2:9" hidden="1" x14ac:dyDescent="0.35">
      <c r="B216" s="61"/>
      <c r="C216" s="61"/>
      <c r="D216" s="61"/>
      <c r="E216" s="61"/>
      <c r="F216" s="61"/>
      <c r="G216" s="61"/>
      <c r="H216" s="61"/>
      <c r="I216" s="61"/>
    </row>
    <row r="217" spans="2:9" hidden="1" x14ac:dyDescent="0.35">
      <c r="B217" s="61"/>
      <c r="C217" s="61"/>
      <c r="D217" s="61"/>
      <c r="E217" s="61"/>
      <c r="F217" s="61"/>
      <c r="G217" s="61"/>
      <c r="H217" s="61"/>
      <c r="I217" s="61"/>
    </row>
    <row r="218" spans="2:9" hidden="1" x14ac:dyDescent="0.35">
      <c r="B218" s="61"/>
      <c r="C218" s="61"/>
      <c r="D218" s="61"/>
      <c r="E218" s="61"/>
      <c r="F218" s="61"/>
      <c r="G218" s="61"/>
      <c r="H218" s="61"/>
      <c r="I218" s="61"/>
    </row>
    <row r="219" spans="2:9" hidden="1" x14ac:dyDescent="0.35">
      <c r="B219" s="61"/>
      <c r="C219" s="61"/>
      <c r="D219" s="61"/>
      <c r="E219" s="61"/>
      <c r="F219" s="61"/>
      <c r="G219" s="61"/>
      <c r="H219" s="61"/>
      <c r="I219" s="61"/>
    </row>
  </sheetData>
  <mergeCells count="1">
    <mergeCell ref="B2:F2"/>
  </mergeCells>
  <phoneticPr fontId="2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Start-Up Investment</vt:lpstr>
      <vt:lpstr>Depreciation Expenses</vt:lpstr>
      <vt:lpstr>BOM</vt:lpstr>
      <vt:lpstr>Price setting</vt:lpstr>
      <vt:lpstr>Insurance Structure</vt:lpstr>
      <vt:lpstr>Marketing Expenses</vt:lpstr>
      <vt:lpstr>Salary Expenses</vt:lpstr>
      <vt:lpstr>Estimated Sale</vt:lpstr>
      <vt:lpstr>Operating Expenses</vt:lpstr>
      <vt:lpstr>Operating Expenses -Year</vt:lpstr>
      <vt:lpstr>Estimated Annual Cash Flow</vt:lpstr>
      <vt:lpstr>Break Even Point</vt:lpstr>
      <vt:lpstr>Estimated Income - Year</vt:lpstr>
      <vt:lpstr>Bảng_lương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2024-11-26T01:01:42Z</dcterms:created>
  <dcterms:modified xsi:type="dcterms:W3CDTF">2026-03-26T07:15:57Z</dcterms:modified>
</cp:coreProperties>
</file>